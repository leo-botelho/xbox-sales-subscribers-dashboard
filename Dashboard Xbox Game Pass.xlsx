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04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44525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71" i="3" l="1"/>
  <c r="F15" i="3"/>
  <c r="C67" i="3" l="1"/>
  <c r="C66" i="3"/>
  <c r="C65" i="3"/>
  <c r="D67" i="3"/>
  <c r="D66" i="3"/>
  <c r="D65" i="3"/>
  <c r="F17" i="3" l="1"/>
  <c r="F16" i="3"/>
  <c r="F14" i="3"/>
  <c r="E51" i="3"/>
  <c r="E61" i="3"/>
</calcChain>
</file>

<file path=xl/sharedStrings.xml><?xml version="1.0" encoding="utf-8"?>
<sst xmlns="http://schemas.openxmlformats.org/spreadsheetml/2006/main" count="2336" uniqueCount="348">
  <si>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</si>
  <si>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</si>
  <si>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</si>
  <si>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</si>
  <si>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</si>
  <si>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</si>
  <si>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</si>
  <si>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</si>
  <si>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</si>
  <si>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</si>
  <si>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</si>
  <si>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</si>
  <si>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</si>
  <si>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</si>
  <si>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</si>
  <si>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</si>
  <si>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</si>
  <si>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</si>
  <si>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</si>
  <si>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</si>
  <si>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</si>
  <si>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</si>
  <si>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</si>
  <si>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</si>
  <si>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</si>
  <si>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</si>
  <si>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</si>
  <si>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</si>
  <si>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</si>
  <si>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</si>
  <si>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</si>
  <si>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</si>
  <si>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</si>
  <si>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</si>
  <si>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</si>
  <si>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</si>
  <si>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</si>
  <si>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</si>
  <si>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</si>
  <si>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</si>
  <si>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</si>
  <si>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</si>
  <si>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</si>
  <si>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</si>
  <si>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</si>
  <si>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</si>
  <si>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</si>
  <si>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</si>
  <si>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</si>
  <si>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</si>
  <si>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</si>
  <si>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</si>
  <si>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</si>
  <si>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</si>
  <si>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</si>
  <si>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</si>
  <si>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</si>
  <si>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</si>
  <si>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</si>
  <si>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</si>
  <si>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</si>
  <si>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</si>
  <si>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</si>
  <si>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</si>
  <si>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</si>
  <si>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</si>
  <si>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</si>
  <si>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</si>
  <si>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</si>
  <si>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</si>
  <si>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</si>
  <si>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</si>
  <si>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</si>
  <si>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</si>
  <si>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</si>
  <si>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</si>
  <si>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</si>
  <si>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</si>
  <si>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</si>
  <si>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</si>
  <si>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</si>
  <si>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</si>
  <si>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</si>
  <si>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</si>
  <si>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</si>
  <si>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</si>
  <si>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</si>
  <si>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</si>
  <si>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</si>
  <si>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</si>
  <si>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</si>
  <si>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</si>
  <si>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</si>
  <si>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</si>
  <si>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</si>
  <si>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</si>
  <si>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</si>
  <si>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</si>
  <si>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</si>
  <si>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</si>
  <si>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</si>
  <si>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</si>
  <si>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</si>
  <si>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</si>
  <si>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</si>
  <si>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</si>
  <si>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</si>
  <si>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</si>
  <si>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</si>
  <si>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</si>
  <si>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</si>
  <si>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</si>
  <si>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</si>
  <si>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</si>
  <si>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</si>
  <si>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</si>
  <si>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</si>
  <si>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</si>
  <si>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</si>
  <si>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</si>
  <si>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</si>
  <si>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</si>
  <si>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</si>
  <si>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</si>
  <si>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</si>
  <si>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</si>
  <si>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</si>
  <si>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</si>
  <si>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</si>
  <si>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</si>
  <si>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</si>
  <si>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</si>
  <si>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</si>
  <si>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</si>
  <si>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</si>
  <si>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</si>
  <si>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</si>
  <si>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</si>
  <si>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</si>
  <si>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</si>
  <si>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</si>
  <si>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</si>
  <si>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</si>
  <si>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</si>
  <si>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</si>
  <si>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</si>
  <si>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</si>
  <si>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</si>
  <si>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</si>
  <si>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</si>
  <si>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</si>
  <si>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</si>
  <si>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</si>
  <si>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</si>
  <si>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</si>
  <si>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</si>
  <si>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</si>
  <si>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</si>
  <si>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</si>
  <si>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</si>
  <si>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</si>
  <si>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</si>
  <si>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</si>
  <si>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</si>
  <si>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</si>
  <si>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</si>
  <si>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</si>
  <si>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</si>
  <si>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</si>
  <si>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</si>
  <si>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</si>
  <si>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</si>
  <si>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</si>
  <si>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</si>
  <si>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</si>
  <si>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</si>
  <si>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</si>
  <si>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</si>
  <si>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</si>
  <si>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</si>
  <si>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</si>
  <si>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</si>
  <si>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</si>
  <si>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</si>
  <si>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</si>
  <si>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</si>
  <si>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</si>
  <si>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</si>
  <si>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</si>
  <si>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</si>
  <si>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</si>
  <si>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</si>
  <si>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</si>
  <si>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</si>
  <si>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</si>
  <si>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</si>
  <si>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</si>
  <si>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</si>
  <si>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</si>
  <si>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</si>
  <si>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</si>
  <si>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</si>
  <si>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</si>
  <si>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</si>
  <si>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</si>
  <si>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</si>
  <si>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</si>
  <si>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</si>
  <si>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</si>
  <si>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</si>
  <si>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</si>
  <si>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</si>
  <si>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</si>
  <si>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</si>
  <si>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</si>
  <si>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</si>
  <si>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</si>
  <si>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</si>
  <si>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</si>
  <si>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</si>
  <si>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</si>
  <si>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</si>
  <si>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</si>
  <si>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</si>
  <si>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</si>
  <si>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</si>
  <si>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</si>
  <si>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</si>
  <si>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</si>
  <si>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</si>
  <si>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</si>
  <si>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</si>
  <si>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</si>
  <si>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</si>
  <si>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</si>
  <si>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</si>
  <si>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</si>
  <si>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</si>
  <si>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</si>
  <si>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</si>
  <si>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</si>
  <si>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</si>
  <si>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</si>
  <si>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</si>
  <si>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</si>
  <si>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</si>
  <si>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</si>
  <si>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</si>
  <si>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</si>
  <si>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</si>
  <si>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</si>
  <si>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</si>
  <si>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</si>
  <si>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</si>
  <si>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</si>
  <si>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</si>
  <si>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</si>
  <si>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</si>
  <si>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</si>
  <si>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</si>
  <si>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</si>
  <si>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</si>
  <si>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</si>
  <si>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</si>
  <si>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</si>
  <si>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</si>
  <si>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</si>
  <si>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</si>
  <si>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</si>
  <si>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</si>
  <si>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</si>
  <si>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</si>
  <si>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</si>
  <si>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</si>
  <si>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</si>
  <si>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</si>
  <si>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</si>
  <si>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</si>
  <si>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</si>
  <si>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</si>
  <si>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</si>
  <si>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</si>
  <si>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</si>
  <si>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</si>
  <si>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</si>
  <si>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</si>
  <si>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</si>
  <si>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</si>
  <si>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</si>
  <si>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</si>
  <si>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</si>
  <si>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</si>
  <si>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</si>
  <si>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</si>
  <si>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</si>
  <si>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</si>
  <si>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</si>
  <si>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</si>
  <si>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</si>
  <si>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</si>
  <si>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</si>
  <si>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</si>
  <si>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</si>
  <si>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</si>
  <si>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</si>
  <si>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</si>
  <si>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</si>
  <si>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</si>
  <si>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</si>
  <si>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</si>
  <si>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</si>
  <si>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</si>
  <si>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</si>
  <si>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</si>
  <si>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</si>
  <si>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</si>
  <si>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Faturamento Total</t>
  </si>
  <si>
    <t>Total Subscriber</t>
  </si>
  <si>
    <t>Ticket Médio</t>
  </si>
  <si>
    <t>% Revenue ative</t>
  </si>
  <si>
    <t>1- Qual total de faturamento?</t>
  </si>
  <si>
    <t>3- Qual o ticket médio?</t>
  </si>
  <si>
    <t>2- Qual total de assinantes?</t>
  </si>
  <si>
    <t>4- Qual percentual de renovação ativas?</t>
  </si>
  <si>
    <t>5- Qual evolução de vendas ao longo dos meses?</t>
  </si>
  <si>
    <t>6- Qual  contagem de Subscription Type?</t>
  </si>
  <si>
    <t>7- Quem comprou o que?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</si>
  <si>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</si>
  <si>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</si>
  <si>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</si>
  <si>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</si>
  <si>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</si>
  <si>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</si>
  <si>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</si>
  <si>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</si>
  <si>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</si>
  <si>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</si>
  <si>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</si>
  <si>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</si>
  <si>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XBOX GAME PASS SUBSCRIPTION SALES</t>
  </si>
  <si>
    <t>Contagem de Subscription Type</t>
  </si>
  <si>
    <t>Soma de EA Play Season Pass</t>
  </si>
  <si>
    <t>Soma de Minecraft Season Pass Price</t>
  </si>
  <si>
    <t>EA PLAY</t>
  </si>
  <si>
    <t>MINECRAFT</t>
  </si>
  <si>
    <t>NENHUM</t>
  </si>
  <si>
    <t>8- Qual o ticket médio dos top 10 clientes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</si>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</sst>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44" fontId="0" fillId="0" borderId="0" xfId="2" applyFont="1"/>
    <xf numFmtId="9" fontId="0" fillId="0" borderId="0" xfId="3" applyFont="1"/>
    <xf numFmtId="14" fontId="0" fillId="0" borderId="0" xfId="0" applyNumberFormat="1" applyAlignment="1">
      <alignment horizontal="left"/>
    </xf>
    <xf numFmtId="0" fontId="4" fillId="0" borderId="2" xfId="1" applyFont="1" applyBorder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3" xfId="0" applyBorder="1"/>
    <xf numFmtId="9" fontId="0" fillId="0" borderId="3" xfId="3" applyFont="1" applyBorder="1"/>
    <xf numFmtId="0" fontId="5" fillId="0" borderId="2" xfId="1" applyFont="1" applyBorder="1" applyAlignment="1">
      <alignment horizontal="left" indent="4"/>
    </xf>
    <xf numFmtId="0" fontId="0" fillId="7" borderId="0" xfId="0" applyFont="1" applyFill="1"/>
    <xf numFmtId="0" fontId="0" fillId="0" borderId="2" xfId="0" applyBorder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40"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1"/>
        <color theme="0"/>
        <name val="Segoe UI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39"/>
      <tableStyleElement type="headerRow" dxfId="38"/>
    </tableStyle>
  </tableStyles>
  <colors>
    <mruColors>
      <color rgb="FF22C55E"/>
      <color rgb="FF2AE6B1"/>
      <color rgb="FFF7F8FC"/>
      <color rgb="FF5BF6A8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 Pass.xlsx]C̳álculos!Tabela dinâmica2</c:name>
    <c:fmtId val="10"/>
  </c:pivotSource>
  <c:chart>
    <c:autoTitleDeleted val="1"/>
    <c:pivotFmts>
      <c:pivotFmt>
        <c:idx val="0"/>
        <c:spPr>
          <a:solidFill>
            <a:srgbClr val="22C55E"/>
          </a:solidFill>
        </c:spPr>
        <c:marker>
          <c:symbol val="none"/>
        </c:marker>
      </c:pivotFmt>
      <c:pivotFmt>
        <c:idx val="1"/>
        <c:spPr>
          <a:solidFill>
            <a:srgbClr val="22C55E"/>
          </a:solidFill>
        </c:spPr>
        <c:marker>
          <c:symbol val="none"/>
        </c:marker>
      </c:pivotFmt>
      <c:pivotFmt>
        <c:idx val="2"/>
        <c:spPr>
          <a:solidFill>
            <a:srgbClr val="2AE6B1"/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</c:spPr>
          <c:invertIfNegative val="0"/>
          <c:cat>
            <c:strRef>
              <c:f>C̳álculos!$B$40:$B$42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C̳álculos!$C$40:$C$42</c:f>
              <c:numCache>
                <c:formatCode>_("R$"* #,##0.00_);_("R$"* \(#,##0.00\);_("R$"* "-"??_);_(@_)</c:formatCode>
                <c:ptCount val="2"/>
                <c:pt idx="0">
                  <c:v>3041</c:v>
                </c:pt>
                <c:pt idx="1">
                  <c:v>2284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90464"/>
        <c:axId val="204621504"/>
      </c:barChart>
      <c:catAx>
        <c:axId val="204990464"/>
        <c:scaling>
          <c:orientation val="minMax"/>
        </c:scaling>
        <c:delete val="0"/>
        <c:axPos val="l"/>
        <c:majorTickMark val="out"/>
        <c:minorTickMark val="none"/>
        <c:tickLblPos val="nextTo"/>
        <c:crossAx val="204621504"/>
        <c:crosses val="autoZero"/>
        <c:auto val="1"/>
        <c:lblAlgn val="ctr"/>
        <c:lblOffset val="100"/>
        <c:noMultiLvlLbl val="0"/>
      </c:catAx>
      <c:valAx>
        <c:axId val="2046215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4990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 Pass.xlsx]C̳álculos!tbl_anual_total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ln>
            <a:solidFill>
              <a:srgbClr val="22C55E"/>
            </a:solidFill>
          </a:ln>
        </c:spPr>
        <c:marker>
          <c:spPr>
            <a:solidFill>
              <a:srgbClr val="2AE6B1"/>
            </a:solidFill>
          </c:spPr>
        </c:marker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7.7783884224323377E-2"/>
          <c:y val="4.0317754938991347E-2"/>
          <c:w val="0.81799806603121983"/>
          <c:h val="0.86738593205935222"/>
        </c:manualLayout>
      </c:layout>
      <c:lineChart>
        <c:grouping val="stack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22C55E"/>
              </a:solidFill>
            </a:ln>
          </c:spPr>
          <c:marker>
            <c:spPr>
              <a:solidFill>
                <a:srgbClr val="2AE6B1"/>
              </a:solidFill>
            </c:spPr>
          </c:marker>
          <c:cat>
            <c:strRef>
              <c:f>C̳álculos!$B$15:$B$27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C̳álculos!$C$15:$C$27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90976"/>
        <c:axId val="204623232"/>
      </c:lineChart>
      <c:catAx>
        <c:axId val="2049909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22C55E"/>
                </a:solidFill>
                <a:latin typeface="Segoe UI" pitchFamily="34" charset="0"/>
                <a:cs typeface="Segoe UI" pitchFamily="34" charset="0"/>
              </a:defRPr>
            </a:pPr>
            <a:endParaRPr lang="pt-BR"/>
          </a:p>
        </c:txPr>
        <c:crossAx val="204623232"/>
        <c:crosses val="autoZero"/>
        <c:auto val="1"/>
        <c:lblAlgn val="ctr"/>
        <c:lblOffset val="100"/>
        <c:noMultiLvlLbl val="0"/>
      </c:catAx>
      <c:valAx>
        <c:axId val="20462323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4990976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 Pass.xlsx]C̳álculos!Tabela dinâmica1</c:name>
    <c:fmtId val="6"/>
  </c:pivotSource>
  <c:chart>
    <c:autoTitleDeleted val="1"/>
    <c:pivotFmts>
      <c:pivotFmt>
        <c:idx val="0"/>
        <c:spPr>
          <a:solidFill>
            <a:srgbClr val="22C55E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 b="0">
                  <a:solidFill>
                    <a:srgbClr val="22C55E"/>
                  </a:solidFill>
                  <a:latin typeface="Segoe MDL2 Assets" pitchFamily="18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rgbClr val="22C55E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 b="0">
                  <a:solidFill>
                    <a:srgbClr val="22C55E"/>
                  </a:solidFill>
                  <a:latin typeface="Segoe MDL2 Assets" pitchFamily="18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rgbClr val="2AE6B1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200" b="0">
                  <a:solidFill>
                    <a:srgbClr val="22C55E"/>
                  </a:solidFill>
                  <a:latin typeface="Segoe MDL2 Assets" pitchFamily="18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</c:spPr>
          <c:invertIfNegative val="0"/>
          <c:dLbls>
            <c:spPr/>
            <c:txPr>
              <a:bodyPr/>
              <a:lstStyle/>
              <a:p>
                <a:pPr>
                  <a:defRPr sz="1200" b="0">
                    <a:solidFill>
                      <a:srgbClr val="22C55E"/>
                    </a:solidFill>
                    <a:latin typeface="Segoe MDL2 Assets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C̳álculos!$B$31:$B$34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C̳álculos!$C$31:$C$34</c:f>
              <c:numCache>
                <c:formatCode>0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92000"/>
        <c:axId val="204624960"/>
      </c:barChart>
      <c:catAx>
        <c:axId val="2049920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rgbClr val="22C55E"/>
                </a:solidFill>
                <a:latin typeface="Segoe UI" pitchFamily="34" charset="0"/>
                <a:cs typeface="Segoe UI" pitchFamily="34" charset="0"/>
              </a:defRPr>
            </a:pPr>
            <a:endParaRPr lang="pt-BR"/>
          </a:p>
        </c:txPr>
        <c:crossAx val="204624960"/>
        <c:crosses val="autoZero"/>
        <c:auto val="1"/>
        <c:lblAlgn val="ctr"/>
        <c:lblOffset val="100"/>
        <c:noMultiLvlLbl val="0"/>
      </c:catAx>
      <c:valAx>
        <c:axId val="2046249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204992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sz="1100" b="0">
                    <a:solidFill>
                      <a:srgbClr val="F7F8FC"/>
                    </a:solidFill>
                    <a:latin typeface="Segoe UI" pitchFamily="34" charset="0"/>
                    <a:cs typeface="Segoe UI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</c:dLbls>
          <c:cat>
            <c:strRef>
              <c:f>(C̳álculos!$B$65,C̳álculos!$B$66)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(C̳álculos!$D$65,C̳álculos!$D$66)</c:f>
              <c:numCache>
                <c:formatCode>0%</c:formatCode>
                <c:ptCount val="2"/>
                <c:pt idx="0">
                  <c:v>0.33220338983050846</c:v>
                </c:pt>
                <c:pt idx="1">
                  <c:v>0.65762711864406775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.xml"/><Relationship Id="rId3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8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71436</xdr:colOff>
      <xdr:row>1</xdr:row>
      <xdr:rowOff>11906</xdr:rowOff>
    </xdr:from>
    <xdr:to>
      <xdr:col>2</xdr:col>
      <xdr:colOff>440530</xdr:colOff>
      <xdr:row>2</xdr:row>
      <xdr:rowOff>95251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9" t="19800" r="72263" b="23128"/>
        <a:stretch/>
      </xdr:blipFill>
      <xdr:spPr>
        <a:xfrm>
          <a:off x="1904999" y="321469"/>
          <a:ext cx="642937" cy="583407"/>
        </a:xfrm>
        <a:prstGeom prst="rect">
          <a:avLst/>
        </a:prstGeom>
      </xdr:spPr>
    </xdr:pic>
    <xdr:clientData/>
  </xdr:twoCellAnchor>
  <xdr:twoCellAnchor editAs="absolute">
    <xdr:from>
      <xdr:col>1</xdr:col>
      <xdr:colOff>197643</xdr:colOff>
      <xdr:row>6</xdr:row>
      <xdr:rowOff>11909</xdr:rowOff>
    </xdr:from>
    <xdr:to>
      <xdr:col>22</xdr:col>
      <xdr:colOff>13607</xdr:colOff>
      <xdr:row>9</xdr:row>
      <xdr:rowOff>17534</xdr:rowOff>
    </xdr:to>
    <xdr:grpSp>
      <xdr:nvGrpSpPr>
        <xdr:cNvPr id="18" name="Grupo 17"/>
        <xdr:cNvGrpSpPr/>
      </xdr:nvGrpSpPr>
      <xdr:grpSpPr>
        <a:xfrm>
          <a:off x="2034607" y="1413445"/>
          <a:ext cx="13627214" cy="726803"/>
          <a:chOff x="1738313" y="2286000"/>
          <a:chExt cx="9072766" cy="720000"/>
        </a:xfrm>
      </xdr:grpSpPr>
      <xdr:grpSp>
        <xdr:nvGrpSpPr>
          <xdr:cNvPr id="8" name="Grupo 7"/>
          <xdr:cNvGrpSpPr/>
        </xdr:nvGrpSpPr>
        <xdr:grpSpPr>
          <a:xfrm>
            <a:off x="1738313" y="2286000"/>
            <a:ext cx="2160000" cy="720000"/>
            <a:chOff x="3512344" y="2545556"/>
            <a:chExt cx="2559843" cy="1073943"/>
          </a:xfrm>
        </xdr:grpSpPr>
        <xdr:sp macro="" textlink="C̳álculos!F14">
          <xdr:nvSpPr>
            <xdr:cNvPr id="4" name="Retângulo de cantos arredondados 3"/>
            <xdr:cNvSpPr/>
          </xdr:nvSpPr>
          <xdr:spPr>
            <a:xfrm>
              <a:off x="3512344" y="2571750"/>
              <a:ext cx="2559843" cy="1047749"/>
            </a:xfrm>
            <a:prstGeom prst="roundRect">
              <a:avLst>
                <a:gd name="adj" fmla="val 7365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AE92DEA1-298B-482C-B0A3-B88A9F90AFD1}" type="TxLink">
                <a:rPr lang="pt-BR" sz="1800" b="1">
                  <a:solidFill>
                    <a:srgbClr val="2AE6B1"/>
                  </a:solidFill>
                  <a:latin typeface="Segoe UI" pitchFamily="34" charset="0"/>
                  <a:cs typeface="Segoe UI" pitchFamily="34" charset="0"/>
                </a:rPr>
                <a:pPr algn="ctr"/>
                <a:t> R$ 7.633,00 </a:t>
              </a:fld>
              <a:endParaRPr lang="pt-BR" sz="18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7" name="Retângulo de cantos arredondados 6"/>
            <xdr:cNvSpPr/>
          </xdr:nvSpPr>
          <xdr:spPr>
            <a:xfrm>
              <a:off x="3512344" y="2545556"/>
              <a:ext cx="2559843" cy="550068"/>
            </a:xfrm>
            <a:prstGeom prst="roundRect">
              <a:avLst>
                <a:gd name="adj" fmla="val 736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latin typeface="Segoe UI" pitchFamily="34" charset="0"/>
                  <a:cs typeface="Segoe UI" pitchFamily="34" charset="0"/>
                </a:rPr>
                <a:t>Total sales</a:t>
              </a:r>
            </a:p>
          </xdr:txBody>
        </xdr:sp>
      </xdr:grpSp>
      <xdr:grpSp>
        <xdr:nvGrpSpPr>
          <xdr:cNvPr id="9" name="Grupo 8"/>
          <xdr:cNvGrpSpPr/>
        </xdr:nvGrpSpPr>
        <xdr:grpSpPr>
          <a:xfrm>
            <a:off x="4042568" y="2286000"/>
            <a:ext cx="2160000" cy="720000"/>
            <a:chOff x="3512344" y="2545556"/>
            <a:chExt cx="2559843" cy="1073943"/>
          </a:xfrm>
        </xdr:grpSpPr>
        <xdr:sp macro="" textlink="C̳álculos!F16">
          <xdr:nvSpPr>
            <xdr:cNvPr id="10" name="Retângulo de cantos arredondados 9"/>
            <xdr:cNvSpPr/>
          </xdr:nvSpPr>
          <xdr:spPr>
            <a:xfrm>
              <a:off x="3512344" y="2571750"/>
              <a:ext cx="2559843" cy="1047749"/>
            </a:xfrm>
            <a:prstGeom prst="roundRect">
              <a:avLst>
                <a:gd name="adj" fmla="val 7365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F259CAC3-7075-4407-BADC-50AA4279CD91}" type="TxLink">
                <a:rPr lang="pt-BR" sz="1800" b="1">
                  <a:solidFill>
                    <a:srgbClr val="2AE6B1"/>
                  </a:solidFill>
                  <a:latin typeface="Segoe UI" pitchFamily="34" charset="0"/>
                  <a:cs typeface="Segoe UI" pitchFamily="34" charset="0"/>
                </a:rPr>
                <a:pPr algn="ctr"/>
                <a:t> R$ 25,87 </a:t>
              </a:fld>
              <a:endParaRPr lang="pt-BR" sz="18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1" name="Retângulo de cantos arredondados 10"/>
            <xdr:cNvSpPr/>
          </xdr:nvSpPr>
          <xdr:spPr>
            <a:xfrm>
              <a:off x="3512344" y="2545556"/>
              <a:ext cx="2559843" cy="550068"/>
            </a:xfrm>
            <a:prstGeom prst="roundRect">
              <a:avLst>
                <a:gd name="adj" fmla="val 736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latin typeface="Segoe UI" pitchFamily="34" charset="0"/>
                  <a:cs typeface="Segoe UI" pitchFamily="34" charset="0"/>
                </a:rPr>
                <a:t>Medium</a:t>
              </a:r>
              <a:r>
                <a:rPr lang="pt-BR" sz="1800" b="1" baseline="0">
                  <a:latin typeface="Segoe UI" pitchFamily="34" charset="0"/>
                  <a:cs typeface="Segoe UI" pitchFamily="34" charset="0"/>
                </a:rPr>
                <a:t> Ticket</a:t>
              </a:r>
              <a:endParaRPr lang="pt-BR" sz="1800" b="1">
                <a:latin typeface="Segoe UI" pitchFamily="34" charset="0"/>
                <a:cs typeface="Segoe UI" pitchFamily="34" charset="0"/>
              </a:endParaRPr>
            </a:p>
          </xdr:txBody>
        </xdr:sp>
      </xdr:grpSp>
      <xdr:grpSp>
        <xdr:nvGrpSpPr>
          <xdr:cNvPr id="12" name="Grupo 11"/>
          <xdr:cNvGrpSpPr/>
        </xdr:nvGrpSpPr>
        <xdr:grpSpPr>
          <a:xfrm>
            <a:off x="8651079" y="2286000"/>
            <a:ext cx="2160000" cy="720000"/>
            <a:chOff x="3512344" y="2545556"/>
            <a:chExt cx="2559843" cy="1073943"/>
          </a:xfrm>
        </xdr:grpSpPr>
        <xdr:sp macro="" textlink="C̳álculos!F17">
          <xdr:nvSpPr>
            <xdr:cNvPr id="13" name="Retângulo de cantos arredondados 12"/>
            <xdr:cNvSpPr/>
          </xdr:nvSpPr>
          <xdr:spPr>
            <a:xfrm>
              <a:off x="3512344" y="2571750"/>
              <a:ext cx="2559843" cy="1047749"/>
            </a:xfrm>
            <a:prstGeom prst="roundRect">
              <a:avLst>
                <a:gd name="adj" fmla="val 7365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CCB1D55A-1718-4E50-9AF0-3FB6C1C9F4A3}" type="TxLink">
                <a:rPr lang="pt-BR" sz="1800" b="1">
                  <a:solidFill>
                    <a:srgbClr val="2AE6B1"/>
                  </a:solidFill>
                  <a:latin typeface="Segoe UI" pitchFamily="34" charset="0"/>
                  <a:cs typeface="Segoe UI" pitchFamily="34" charset="0"/>
                </a:rPr>
                <a:pPr algn="ctr"/>
                <a:t>50%</a:t>
              </a:fld>
              <a:endParaRPr lang="pt-BR" sz="18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4" name="Retângulo de cantos arredondados 13"/>
            <xdr:cNvSpPr/>
          </xdr:nvSpPr>
          <xdr:spPr>
            <a:xfrm>
              <a:off x="3512344" y="2545556"/>
              <a:ext cx="2559843" cy="550068"/>
            </a:xfrm>
            <a:prstGeom prst="roundRect">
              <a:avLst>
                <a:gd name="adj" fmla="val 736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latin typeface="Segoe UI" pitchFamily="34" charset="0"/>
                  <a:cs typeface="Segoe UI" pitchFamily="34" charset="0"/>
                </a:rPr>
                <a:t>Active Renewal</a:t>
              </a:r>
            </a:p>
          </xdr:txBody>
        </xdr:sp>
      </xdr:grpSp>
      <xdr:grpSp>
        <xdr:nvGrpSpPr>
          <xdr:cNvPr id="15" name="Grupo 14"/>
          <xdr:cNvGrpSpPr/>
        </xdr:nvGrpSpPr>
        <xdr:grpSpPr>
          <a:xfrm>
            <a:off x="6346823" y="2286000"/>
            <a:ext cx="2160000" cy="720000"/>
            <a:chOff x="3512344" y="2545556"/>
            <a:chExt cx="2559843" cy="1073943"/>
          </a:xfrm>
        </xdr:grpSpPr>
        <xdr:sp macro="" textlink="C̳álculos!F15">
          <xdr:nvSpPr>
            <xdr:cNvPr id="16" name="Retângulo de cantos arredondados 15"/>
            <xdr:cNvSpPr/>
          </xdr:nvSpPr>
          <xdr:spPr>
            <a:xfrm>
              <a:off x="3512344" y="2571750"/>
              <a:ext cx="2559843" cy="1047749"/>
            </a:xfrm>
            <a:prstGeom prst="roundRect">
              <a:avLst>
                <a:gd name="adj" fmla="val 7365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E2EAD74A-92A0-48F7-800C-F306C3248CC4}" type="TxLink">
                <a:rPr lang="pt-BR" sz="1800" b="1">
                  <a:solidFill>
                    <a:srgbClr val="2AE6B1"/>
                  </a:solidFill>
                  <a:latin typeface="Segoe UI" pitchFamily="34" charset="0"/>
                  <a:cs typeface="Segoe UI" pitchFamily="34" charset="0"/>
                </a:rPr>
                <a:pPr algn="ctr"/>
                <a:t>295</a:t>
              </a:fld>
              <a:endParaRPr lang="pt-BR" sz="18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17" name="Retângulo de cantos arredondados 16"/>
            <xdr:cNvSpPr/>
          </xdr:nvSpPr>
          <xdr:spPr>
            <a:xfrm>
              <a:off x="3512344" y="2545556"/>
              <a:ext cx="2559843" cy="550068"/>
            </a:xfrm>
            <a:prstGeom prst="roundRect">
              <a:avLst>
                <a:gd name="adj" fmla="val 736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latin typeface="Segoe UI" pitchFamily="34" charset="0"/>
                  <a:cs typeface="Segoe UI" pitchFamily="34" charset="0"/>
                </a:rPr>
                <a:t>Total Subscribers</a:t>
              </a:r>
            </a:p>
          </xdr:txBody>
        </xdr:sp>
      </xdr:grpSp>
    </xdr:grpSp>
    <xdr:clientData/>
  </xdr:twoCellAnchor>
  <xdr:twoCellAnchor editAs="absolute">
    <xdr:from>
      <xdr:col>0</xdr:col>
      <xdr:colOff>0</xdr:colOff>
      <xdr:row>7</xdr:row>
      <xdr:rowOff>338132</xdr:rowOff>
    </xdr:from>
    <xdr:to>
      <xdr:col>0</xdr:col>
      <xdr:colOff>1809750</xdr:colOff>
      <xdr:row>21</xdr:row>
      <xdr:rowOff>123819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62132"/>
              <a:ext cx="1809750" cy="25071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426243</xdr:colOff>
      <xdr:row>10</xdr:row>
      <xdr:rowOff>56122</xdr:rowOff>
    </xdr:from>
    <xdr:to>
      <xdr:col>15</xdr:col>
      <xdr:colOff>45245</xdr:colOff>
      <xdr:row>19</xdr:row>
      <xdr:rowOff>104778</xdr:rowOff>
    </xdr:to>
    <xdr:grpSp>
      <xdr:nvGrpSpPr>
        <xdr:cNvPr id="59" name="Grupo 58"/>
        <xdr:cNvGrpSpPr/>
      </xdr:nvGrpSpPr>
      <xdr:grpSpPr>
        <a:xfrm>
          <a:off x="6617493" y="2355729"/>
          <a:ext cx="4435931" cy="1640692"/>
          <a:chOff x="6772272" y="2508807"/>
          <a:chExt cx="4476752" cy="1656000"/>
        </a:xfrm>
      </xdr:grpSpPr>
      <xdr:sp macro="" textlink="">
        <xdr:nvSpPr>
          <xdr:cNvPr id="34" name="Retângulo de cantos arredondados 33"/>
          <xdr:cNvSpPr/>
        </xdr:nvSpPr>
        <xdr:spPr>
          <a:xfrm>
            <a:off x="6772274" y="2508807"/>
            <a:ext cx="4476750" cy="1656000"/>
          </a:xfrm>
          <a:prstGeom prst="roundRect">
            <a:avLst>
              <a:gd name="adj" fmla="val 7365"/>
            </a:avLst>
          </a:prstGeom>
          <a:pattFill prst="pct5">
            <a:fgClr>
              <a:srgbClr val="F7F8FC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51">
        <xdr:nvSpPr>
          <xdr:cNvPr id="37" name="Retângulo de cantos arredondados 36"/>
          <xdr:cNvSpPr/>
        </xdr:nvSpPr>
        <xdr:spPr>
          <a:xfrm>
            <a:off x="8574260" y="3104508"/>
            <a:ext cx="2643187" cy="869980"/>
          </a:xfrm>
          <a:prstGeom prst="roundRect">
            <a:avLst>
              <a:gd name="adj" fmla="val 736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50953D-D943-4E63-B1C9-E6EF48290942}" type="TxLink">
              <a:rPr lang="pt-BR" sz="24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rPr>
              <a:pPr algn="ctr"/>
              <a:t> R$ 1.950,00 </a:t>
            </a:fld>
            <a:endParaRPr lang="pt-BR" sz="2400" b="1">
              <a:solidFill>
                <a:srgbClr val="2AE6B1"/>
              </a:solidFill>
              <a:latin typeface="Segoe UI" pitchFamily="34" charset="0"/>
              <a:cs typeface="Segoe UI" pitchFamily="34" charset="0"/>
            </a:endParaRPr>
          </a:p>
        </xdr:txBody>
      </xdr:sp>
      <xdr:pic>
        <xdr:nvPicPr>
          <xdr:cNvPr id="30" name="Imagem 29">
            <a:extLst>
              <a:ext uri="{FF2B5EF4-FFF2-40B4-BE49-F238E27FC236}">
                <a16:creationId xmlns=""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90116" y="2963927"/>
            <a:ext cx="1371600" cy="1147535"/>
          </a:xfrm>
          <a:prstGeom prst="rect">
            <a:avLst/>
          </a:prstGeom>
        </xdr:spPr>
      </xdr:pic>
      <xdr:sp macro="" textlink="">
        <xdr:nvSpPr>
          <xdr:cNvPr id="20" name="Arredondar Retângulo no Mesmo Canto Lateral 19"/>
          <xdr:cNvSpPr/>
        </xdr:nvSpPr>
        <xdr:spPr>
          <a:xfrm>
            <a:off x="6772272" y="2508807"/>
            <a:ext cx="4468468" cy="475737"/>
          </a:xfrm>
          <a:prstGeom prst="round2SameRect">
            <a:avLst>
              <a:gd name="adj1" fmla="val 179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SEASONS PASS</a:t>
            </a:r>
          </a:p>
        </xdr:txBody>
      </xdr:sp>
    </xdr:grpSp>
    <xdr:clientData/>
  </xdr:twoCellAnchor>
  <xdr:twoCellAnchor editAs="absolute">
    <xdr:from>
      <xdr:col>8</xdr:col>
      <xdr:colOff>438149</xdr:colOff>
      <xdr:row>19</xdr:row>
      <xdr:rowOff>153753</xdr:rowOff>
    </xdr:from>
    <xdr:to>
      <xdr:col>15</xdr:col>
      <xdr:colOff>57151</xdr:colOff>
      <xdr:row>29</xdr:row>
      <xdr:rowOff>23815</xdr:rowOff>
    </xdr:to>
    <xdr:grpSp>
      <xdr:nvGrpSpPr>
        <xdr:cNvPr id="27" name="Grupo 26"/>
        <xdr:cNvGrpSpPr/>
      </xdr:nvGrpSpPr>
      <xdr:grpSpPr>
        <a:xfrm>
          <a:off x="6629399" y="4045396"/>
          <a:ext cx="4435931" cy="1638990"/>
          <a:chOff x="6784179" y="4347540"/>
          <a:chExt cx="4476752" cy="1663200"/>
        </a:xfrm>
      </xdr:grpSpPr>
      <xdr:grpSp>
        <xdr:nvGrpSpPr>
          <xdr:cNvPr id="33" name="Grupo 32"/>
          <xdr:cNvGrpSpPr/>
        </xdr:nvGrpSpPr>
        <xdr:grpSpPr>
          <a:xfrm>
            <a:off x="6784179" y="4347540"/>
            <a:ext cx="4476752" cy="1663200"/>
            <a:chOff x="6798467" y="2635421"/>
            <a:chExt cx="4476752" cy="1663200"/>
          </a:xfrm>
        </xdr:grpSpPr>
        <xdr:sp macro="" textlink="">
          <xdr:nvSpPr>
            <xdr:cNvPr id="35" name="Retângulo de cantos arredondados 34"/>
            <xdr:cNvSpPr/>
          </xdr:nvSpPr>
          <xdr:spPr>
            <a:xfrm>
              <a:off x="6798469" y="2635421"/>
              <a:ext cx="4476750" cy="1663200"/>
            </a:xfrm>
            <a:prstGeom prst="roundRect">
              <a:avLst>
                <a:gd name="adj" fmla="val 7365"/>
              </a:avLst>
            </a:prstGeom>
            <a:pattFill prst="pct5">
              <a:fgClr>
                <a:srgbClr val="F7F8FC"/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61">
          <xdr:nvSpPr>
            <xdr:cNvPr id="38" name="Retângulo de cantos arredondados 37"/>
            <xdr:cNvSpPr/>
          </xdr:nvSpPr>
          <xdr:spPr>
            <a:xfrm>
              <a:off x="8600455" y="3233712"/>
              <a:ext cx="2643187" cy="873763"/>
            </a:xfrm>
            <a:prstGeom prst="roundRect">
              <a:avLst>
                <a:gd name="adj" fmla="val 7365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B4538D3-F85F-40BE-BA38-7EAEE9CB35B9}" type="TxLink">
                <a:rPr lang="pt-BR" sz="2400" b="1">
                  <a:solidFill>
                    <a:srgbClr val="2AE6B1"/>
                  </a:solidFill>
                  <a:latin typeface="Segoe UI" pitchFamily="34" charset="0"/>
                  <a:cs typeface="Segoe UI" pitchFamily="34" charset="0"/>
                </a:rPr>
                <a:pPr algn="ctr"/>
                <a:t> R$ 2.740,00 </a:t>
              </a:fld>
              <a:endParaRPr lang="pt-BR" sz="24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40" name="Arredondar Retângulo no Mesmo Canto Lateral 39"/>
            <xdr:cNvSpPr/>
          </xdr:nvSpPr>
          <xdr:spPr>
            <a:xfrm>
              <a:off x="6798467" y="2635421"/>
              <a:ext cx="4468468" cy="477805"/>
            </a:xfrm>
            <a:prstGeom prst="round2SameRect">
              <a:avLst>
                <a:gd name="adj1" fmla="val 17982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 MINECRAFT PLAY SEASONS PASS</a:t>
              </a:r>
            </a:p>
          </xdr:txBody>
        </xdr:sp>
      </xdr:grpSp>
      <xdr:grpSp>
        <xdr:nvGrpSpPr>
          <xdr:cNvPr id="41" name="Agrupar 16">
            <a:extLst>
              <a:ext uri="{FF2B5EF4-FFF2-40B4-BE49-F238E27FC236}">
                <a16:creationId xmlns=""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248523" y="5131594"/>
            <a:ext cx="1312072" cy="525633"/>
            <a:chOff x="3495675" y="5400674"/>
            <a:chExt cx="1549476" cy="752476"/>
          </a:xfrm>
        </xdr:grpSpPr>
        <xdr:pic>
          <xdr:nvPicPr>
            <xdr:cNvPr id="42" name="Imagem 41">
              <a:extLst>
                <a:ext uri="{FF2B5EF4-FFF2-40B4-BE49-F238E27FC236}">
                  <a16:creationId xmlns=""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3" name="Gráfico 13">
              <a:extLst>
                <a:ext uri="{FF2B5EF4-FFF2-40B4-BE49-F238E27FC236}">
                  <a16:creationId xmlns=""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197643</xdr:colOff>
      <xdr:row>10</xdr:row>
      <xdr:rowOff>44217</xdr:rowOff>
    </xdr:from>
    <xdr:to>
      <xdr:col>8</xdr:col>
      <xdr:colOff>273843</xdr:colOff>
      <xdr:row>29</xdr:row>
      <xdr:rowOff>27955</xdr:rowOff>
    </xdr:to>
    <xdr:grpSp>
      <xdr:nvGrpSpPr>
        <xdr:cNvPr id="47" name="Grupo 46"/>
        <xdr:cNvGrpSpPr/>
      </xdr:nvGrpSpPr>
      <xdr:grpSpPr>
        <a:xfrm>
          <a:off x="2034607" y="2343824"/>
          <a:ext cx="4430486" cy="3344702"/>
          <a:chOff x="2221704" y="2615963"/>
          <a:chExt cx="4493418" cy="3377020"/>
        </a:xfrm>
      </xdr:grpSpPr>
      <xdr:grpSp>
        <xdr:nvGrpSpPr>
          <xdr:cNvPr id="22" name="Grupo 21"/>
          <xdr:cNvGrpSpPr/>
        </xdr:nvGrpSpPr>
        <xdr:grpSpPr>
          <a:xfrm>
            <a:off x="2226468" y="2635421"/>
            <a:ext cx="4488654" cy="3357562"/>
            <a:chOff x="2393157" y="2607469"/>
            <a:chExt cx="4488654" cy="3357562"/>
          </a:xfrm>
        </xdr:grpSpPr>
        <xdr:sp macro="" textlink="">
          <xdr:nvSpPr>
            <xdr:cNvPr id="31" name="Retângulo de cantos arredondados 30"/>
            <xdr:cNvSpPr/>
          </xdr:nvSpPr>
          <xdr:spPr>
            <a:xfrm>
              <a:off x="2393157" y="2607469"/>
              <a:ext cx="4476750" cy="3357562"/>
            </a:xfrm>
            <a:prstGeom prst="roundRect">
              <a:avLst>
                <a:gd name="adj" fmla="val 7365"/>
              </a:avLst>
            </a:prstGeom>
            <a:pattFill prst="pct5">
              <a:fgClr>
                <a:srgbClr val="F7F8FC"/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4" name="Gráfico 23"/>
            <xdr:cNvGraphicFramePr>
              <a:graphicFrameLocks/>
            </xdr:cNvGraphicFramePr>
          </xdr:nvGraphicFramePr>
          <xdr:xfrm>
            <a:off x="2593180" y="2992041"/>
            <a:ext cx="4288631" cy="258841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44" name="Arredondar Retângulo no Mesmo Canto Lateral 43"/>
          <xdr:cNvSpPr/>
        </xdr:nvSpPr>
        <xdr:spPr>
          <a:xfrm>
            <a:off x="2221704" y="2615963"/>
            <a:ext cx="4468468" cy="475737"/>
          </a:xfrm>
          <a:prstGeom prst="round2SameRect">
            <a:avLst>
              <a:gd name="adj1" fmla="val 179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</a:t>
            </a:r>
            <a:r>
              <a:rPr lang="pt-BR" sz="1100" b="1" baseline="0"/>
              <a:t>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1</xdr:col>
      <xdr:colOff>202409</xdr:colOff>
      <xdr:row>29</xdr:row>
      <xdr:rowOff>113276</xdr:rowOff>
    </xdr:from>
    <xdr:to>
      <xdr:col>8</xdr:col>
      <xdr:colOff>261940</xdr:colOff>
      <xdr:row>48</xdr:row>
      <xdr:rowOff>83350</xdr:rowOff>
    </xdr:to>
    <xdr:grpSp>
      <xdr:nvGrpSpPr>
        <xdr:cNvPr id="48" name="Grupo 47"/>
        <xdr:cNvGrpSpPr/>
      </xdr:nvGrpSpPr>
      <xdr:grpSpPr>
        <a:xfrm>
          <a:off x="2039373" y="5773847"/>
          <a:ext cx="4413817" cy="3331039"/>
          <a:chOff x="1881188" y="6923644"/>
          <a:chExt cx="4476749" cy="3363355"/>
        </a:xfrm>
      </xdr:grpSpPr>
      <xdr:sp macro="" textlink="">
        <xdr:nvSpPr>
          <xdr:cNvPr id="5" name="Retângulo de cantos arredondados 4"/>
          <xdr:cNvSpPr/>
        </xdr:nvSpPr>
        <xdr:spPr>
          <a:xfrm>
            <a:off x="1881188" y="6929437"/>
            <a:ext cx="4476749" cy="3357562"/>
          </a:xfrm>
          <a:prstGeom prst="roundRect">
            <a:avLst>
              <a:gd name="adj" fmla="val 7365"/>
            </a:avLst>
          </a:prstGeom>
          <a:pattFill prst="pct5">
            <a:fgClr>
              <a:srgbClr val="F7F8FC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049047" y="7465219"/>
          <a:ext cx="4183192" cy="26687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45" name="Arredondar Retângulo no Mesmo Canto Lateral 44"/>
          <xdr:cNvSpPr/>
        </xdr:nvSpPr>
        <xdr:spPr>
          <a:xfrm>
            <a:off x="1885948" y="6923644"/>
            <a:ext cx="4468468" cy="475737"/>
          </a:xfrm>
          <a:prstGeom prst="round2SameRect">
            <a:avLst>
              <a:gd name="adj1" fmla="val 179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EVOLUTION OF SALES OVER THE MONTHS</a:t>
            </a:r>
          </a:p>
        </xdr:txBody>
      </xdr:sp>
    </xdr:grpSp>
    <xdr:clientData/>
  </xdr:twoCellAnchor>
  <xdr:twoCellAnchor editAs="absolute">
    <xdr:from>
      <xdr:col>8</xdr:col>
      <xdr:colOff>461969</xdr:colOff>
      <xdr:row>29</xdr:row>
      <xdr:rowOff>104781</xdr:rowOff>
    </xdr:from>
    <xdr:to>
      <xdr:col>15</xdr:col>
      <xdr:colOff>80969</xdr:colOff>
      <xdr:row>48</xdr:row>
      <xdr:rowOff>69062</xdr:rowOff>
    </xdr:to>
    <xdr:grpSp>
      <xdr:nvGrpSpPr>
        <xdr:cNvPr id="49" name="Grupo 48"/>
        <xdr:cNvGrpSpPr/>
      </xdr:nvGrpSpPr>
      <xdr:grpSpPr>
        <a:xfrm>
          <a:off x="6653219" y="5765352"/>
          <a:ext cx="4435929" cy="3325246"/>
          <a:chOff x="7022308" y="6700837"/>
          <a:chExt cx="4476750" cy="3357562"/>
        </a:xfrm>
      </xdr:grpSpPr>
      <xdr:sp macro="" textlink="">
        <xdr:nvSpPr>
          <xdr:cNvPr id="21" name="Retângulo de cantos arredondados 20"/>
          <xdr:cNvSpPr/>
        </xdr:nvSpPr>
        <xdr:spPr>
          <a:xfrm>
            <a:off x="7022308" y="6700837"/>
            <a:ext cx="4476750" cy="3357562"/>
          </a:xfrm>
          <a:prstGeom prst="roundRect">
            <a:avLst>
              <a:gd name="adj" fmla="val 7365"/>
            </a:avLst>
          </a:prstGeom>
          <a:pattFill prst="pct5">
            <a:fgClr>
              <a:srgbClr val="F7F8FC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9" name="Gráfico 18"/>
          <xdr:cNvGraphicFramePr>
            <a:graphicFrameLocks/>
          </xdr:cNvGraphicFramePr>
        </xdr:nvGraphicFramePr>
        <xdr:xfrm>
          <a:off x="7048502" y="7264002"/>
          <a:ext cx="4405313" cy="26360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46" name="Arredondar Retângulo no Mesmo Canto Lateral 45"/>
          <xdr:cNvSpPr/>
        </xdr:nvSpPr>
        <xdr:spPr>
          <a:xfrm>
            <a:off x="7027067" y="6718856"/>
            <a:ext cx="4468468" cy="475737"/>
          </a:xfrm>
          <a:prstGeom prst="round2SameRect">
            <a:avLst>
              <a:gd name="adj1" fmla="val 179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TYPE</a:t>
            </a:r>
          </a:p>
        </xdr:txBody>
      </xdr:sp>
    </xdr:grpSp>
    <xdr:clientData/>
  </xdr:twoCellAnchor>
  <xdr:twoCellAnchor editAs="absolute">
    <xdr:from>
      <xdr:col>15</xdr:col>
      <xdr:colOff>247651</xdr:colOff>
      <xdr:row>29</xdr:row>
      <xdr:rowOff>124504</xdr:rowOff>
    </xdr:from>
    <xdr:to>
      <xdr:col>22</xdr:col>
      <xdr:colOff>21433</xdr:colOff>
      <xdr:row>48</xdr:row>
      <xdr:rowOff>96278</xdr:rowOff>
    </xdr:to>
    <xdr:grpSp>
      <xdr:nvGrpSpPr>
        <xdr:cNvPr id="55" name="Grupo 54"/>
        <xdr:cNvGrpSpPr/>
      </xdr:nvGrpSpPr>
      <xdr:grpSpPr>
        <a:xfrm>
          <a:off x="11255830" y="5785075"/>
          <a:ext cx="4413817" cy="3332739"/>
          <a:chOff x="2331244" y="9933545"/>
          <a:chExt cx="4476749" cy="3363355"/>
        </a:xfrm>
      </xdr:grpSpPr>
      <xdr:sp macro="" textlink="">
        <xdr:nvSpPr>
          <xdr:cNvPr id="52" name="Retângulo de cantos arredondados 51"/>
          <xdr:cNvSpPr/>
        </xdr:nvSpPr>
        <xdr:spPr>
          <a:xfrm>
            <a:off x="2331244" y="9939338"/>
            <a:ext cx="4476749" cy="3357562"/>
          </a:xfrm>
          <a:prstGeom prst="roundRect">
            <a:avLst>
              <a:gd name="adj" fmla="val 7365"/>
            </a:avLst>
          </a:prstGeom>
          <a:pattFill prst="pct5">
            <a:fgClr>
              <a:srgbClr val="F7F8FC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0" name="Gráfico 49"/>
          <xdr:cNvGraphicFramePr>
            <a:graphicFrameLocks/>
          </xdr:cNvGraphicFramePr>
        </xdr:nvGraphicFramePr>
        <xdr:xfrm>
          <a:off x="2464594" y="10477500"/>
          <a:ext cx="417909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54" name="Arredondar Retângulo no Mesmo Canto Lateral 53"/>
          <xdr:cNvSpPr/>
        </xdr:nvSpPr>
        <xdr:spPr>
          <a:xfrm>
            <a:off x="2336004" y="9933545"/>
            <a:ext cx="4468468" cy="475737"/>
          </a:xfrm>
          <a:prstGeom prst="round2SameRect">
            <a:avLst>
              <a:gd name="adj1" fmla="val 179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ADOPTION PERCENTAGE</a:t>
            </a:r>
          </a:p>
        </xdr:txBody>
      </xdr:sp>
    </xdr:grpSp>
    <xdr:clientData/>
  </xdr:twoCellAnchor>
  <xdr:twoCellAnchor editAs="absolute">
    <xdr:from>
      <xdr:col>15</xdr:col>
      <xdr:colOff>224856</xdr:colOff>
      <xdr:row>10</xdr:row>
      <xdr:rowOff>62920</xdr:rowOff>
    </xdr:from>
    <xdr:to>
      <xdr:col>22</xdr:col>
      <xdr:colOff>25516</xdr:colOff>
      <xdr:row>29</xdr:row>
      <xdr:rowOff>125865</xdr:rowOff>
    </xdr:to>
    <xdr:grpSp>
      <xdr:nvGrpSpPr>
        <xdr:cNvPr id="69" name="Grupo 68"/>
        <xdr:cNvGrpSpPr/>
      </xdr:nvGrpSpPr>
      <xdr:grpSpPr>
        <a:xfrm>
          <a:off x="11233035" y="2362527"/>
          <a:ext cx="4440695" cy="3423909"/>
          <a:chOff x="6829421" y="9450149"/>
          <a:chExt cx="4481516" cy="3456226"/>
        </a:xfrm>
      </xdr:grpSpPr>
      <xdr:grpSp>
        <xdr:nvGrpSpPr>
          <xdr:cNvPr id="68" name="Grupo 67"/>
          <xdr:cNvGrpSpPr/>
        </xdr:nvGrpSpPr>
        <xdr:grpSpPr>
          <a:xfrm>
            <a:off x="6829421" y="9450149"/>
            <a:ext cx="4476752" cy="3349069"/>
            <a:chOff x="6829421" y="9450149"/>
            <a:chExt cx="4476752" cy="3349069"/>
          </a:xfrm>
        </xdr:grpSpPr>
        <xdr:sp macro="" textlink="">
          <xdr:nvSpPr>
            <xdr:cNvPr id="65" name="Retângulo de cantos arredondados 64"/>
            <xdr:cNvSpPr/>
          </xdr:nvSpPr>
          <xdr:spPr>
            <a:xfrm>
              <a:off x="6829423" y="9450149"/>
              <a:ext cx="4476750" cy="3349069"/>
            </a:xfrm>
            <a:prstGeom prst="roundRect">
              <a:avLst>
                <a:gd name="adj" fmla="val 7365"/>
              </a:avLst>
            </a:prstGeom>
            <a:pattFill prst="pct5">
              <a:fgClr>
                <a:srgbClr val="F7F8FC"/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7" name="Arredondar Retângulo no Mesmo Canto Lateral 66"/>
            <xdr:cNvSpPr/>
          </xdr:nvSpPr>
          <xdr:spPr>
            <a:xfrm>
              <a:off x="6829421" y="9450150"/>
              <a:ext cx="4468468" cy="475737"/>
            </a:xfrm>
            <a:prstGeom prst="round2SameRect">
              <a:avLst>
                <a:gd name="adj1" fmla="val 17982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AVERAGE</a:t>
              </a:r>
              <a:r>
                <a:rPr lang="pt-BR" sz="1100" b="1" baseline="0"/>
                <a:t> TICKET PRICE FOR THE TOP 10 SUBSCRIBERS</a:t>
              </a:r>
              <a:endParaRPr lang="pt-BR" sz="1100" b="1"/>
            </a:p>
          </xdr:txBody>
        </xdr:sp>
      </xdr:grpSp>
      <xdr:sp macro="" textlink="C̳álculos!E71">
        <xdr:nvSpPr>
          <xdr:cNvPr id="66" name="Retângulo de cantos arredondados 65"/>
          <xdr:cNvSpPr/>
        </xdr:nvSpPr>
        <xdr:spPr>
          <a:xfrm>
            <a:off x="6846095" y="9465469"/>
            <a:ext cx="4464842" cy="3440906"/>
          </a:xfrm>
          <a:prstGeom prst="roundRect">
            <a:avLst>
              <a:gd name="adj" fmla="val 736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59D4C0C-DA2C-4B15-BBBB-76694513DC35}" type="TxLink">
              <a:rPr lang="pt-BR" sz="6000" b="1">
                <a:solidFill>
                  <a:srgbClr val="2AE6B1"/>
                </a:solidFill>
                <a:latin typeface="Segoe UI" pitchFamily="34" charset="0"/>
                <a:cs typeface="Segoe UI" pitchFamily="34" charset="0"/>
              </a:rPr>
              <a:pPr algn="ctr"/>
              <a:t> R$ 79,70 </a:t>
            </a:fld>
            <a:endParaRPr lang="pt-BR" sz="6000" b="1">
              <a:solidFill>
                <a:srgbClr val="2AE6B1"/>
              </a:solidFill>
              <a:latin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 editAs="absolute">
    <xdr:from>
      <xdr:col>1</xdr:col>
      <xdr:colOff>95252</xdr:colOff>
      <xdr:row>2</xdr:row>
      <xdr:rowOff>238125</xdr:rowOff>
    </xdr:from>
    <xdr:to>
      <xdr:col>8</xdr:col>
      <xdr:colOff>619126</xdr:colOff>
      <xdr:row>5</xdr:row>
      <xdr:rowOff>83345</xdr:rowOff>
    </xdr:to>
    <xdr:sp macro="" textlink="">
      <xdr:nvSpPr>
        <xdr:cNvPr id="6" name="Retângulo 5"/>
        <xdr:cNvSpPr/>
      </xdr:nvSpPr>
      <xdr:spPr>
        <a:xfrm>
          <a:off x="1928815" y="1047750"/>
          <a:ext cx="4941092" cy="3095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Período de apuração: 01/01/2024 - 21/12/2024  |  Update  date 30/12/2025</a:t>
          </a:r>
        </a:p>
      </xdr:txBody>
    </xdr:sp>
    <xdr:clientData/>
  </xdr:twoCellAnchor>
  <xdr:twoCellAnchor>
    <xdr:from>
      <xdr:col>0</xdr:col>
      <xdr:colOff>519113</xdr:colOff>
      <xdr:row>1</xdr:row>
      <xdr:rowOff>83344</xdr:rowOff>
    </xdr:from>
    <xdr:to>
      <xdr:col>0</xdr:col>
      <xdr:colOff>1290638</xdr:colOff>
      <xdr:row>2</xdr:row>
      <xdr:rowOff>240507</xdr:rowOff>
    </xdr:to>
    <xdr:sp macro="" textlink="">
      <xdr:nvSpPr>
        <xdr:cNvPr id="56" name="Elipse 55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519113" y="396308"/>
          <a:ext cx="771525" cy="647020"/>
        </a:xfrm>
        <a:prstGeom prst="ellipse">
          <a:avLst/>
        </a:prstGeom>
        <a:blipFill>
          <a:blip xmlns:r="http://schemas.openxmlformats.org/officeDocument/2006/relationships" r:embed="rId1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187610</xdr:colOff>
      <xdr:row>5</xdr:row>
      <xdr:rowOff>9523</xdr:rowOff>
    </xdr:from>
    <xdr:to>
      <xdr:col>0</xdr:col>
      <xdr:colOff>1622140</xdr:colOff>
      <xdr:row>7</xdr:row>
      <xdr:rowOff>163286</xdr:rowOff>
    </xdr:to>
    <xdr:sp macro="" textlink="">
      <xdr:nvSpPr>
        <xdr:cNvPr id="57" name="Retângulo 56"/>
        <xdr:cNvSpPr/>
      </xdr:nvSpPr>
      <xdr:spPr>
        <a:xfrm>
          <a:off x="187610" y="1274987"/>
          <a:ext cx="1434530" cy="4122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Bem</a:t>
          </a:r>
          <a:r>
            <a:rPr lang="pt-BR" sz="1200" b="1" baseline="0"/>
            <a:t> vindo, Jhon</a:t>
          </a:r>
          <a:endParaRPr lang="pt-BR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19.600576157405" createdVersion="4" refreshedVersion="4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x v="0"/>
    <n v="15"/>
    <x v="0"/>
    <s v="Yes"/>
    <x v="0"/>
    <x v="0"/>
    <n v="20"/>
    <n v="5"/>
    <n v="60"/>
  </r>
  <r>
    <n v="3232"/>
    <x v="1"/>
    <x v="1"/>
    <x v="1"/>
    <x v="1"/>
    <n v="5"/>
    <x v="1"/>
    <s v="No"/>
    <x v="1"/>
    <x v="1"/>
    <n v="0"/>
    <n v="0"/>
    <n v="5"/>
  </r>
  <r>
    <n v="3233"/>
    <x v="2"/>
    <x v="2"/>
    <x v="2"/>
    <x v="0"/>
    <n v="10"/>
    <x v="2"/>
    <s v="No"/>
    <x v="1"/>
    <x v="0"/>
    <n v="20"/>
    <n v="10"/>
    <n v="20"/>
  </r>
  <r>
    <n v="3234"/>
    <x v="3"/>
    <x v="0"/>
    <x v="3"/>
    <x v="1"/>
    <n v="15"/>
    <x v="0"/>
    <s v="Yes"/>
    <x v="0"/>
    <x v="0"/>
    <n v="20"/>
    <n v="3"/>
    <n v="62"/>
  </r>
  <r>
    <n v="3235"/>
    <x v="4"/>
    <x v="1"/>
    <x v="4"/>
    <x v="0"/>
    <n v="5"/>
    <x v="0"/>
    <s v="No"/>
    <x v="1"/>
    <x v="1"/>
    <n v="0"/>
    <n v="1"/>
    <n v="4"/>
  </r>
  <r>
    <n v="3236"/>
    <x v="5"/>
    <x v="2"/>
    <x v="5"/>
    <x v="1"/>
    <n v="10"/>
    <x v="0"/>
    <s v="No"/>
    <x v="1"/>
    <x v="0"/>
    <n v="20"/>
    <n v="2"/>
    <n v="28"/>
  </r>
  <r>
    <n v="3237"/>
    <x v="6"/>
    <x v="0"/>
    <x v="6"/>
    <x v="0"/>
    <n v="15"/>
    <x v="2"/>
    <s v="Yes"/>
    <x v="0"/>
    <x v="0"/>
    <n v="20"/>
    <n v="10"/>
    <n v="55"/>
  </r>
  <r>
    <n v="3238"/>
    <x v="7"/>
    <x v="1"/>
    <x v="7"/>
    <x v="0"/>
    <n v="5"/>
    <x v="1"/>
    <s v="No"/>
    <x v="1"/>
    <x v="1"/>
    <n v="0"/>
    <n v="0"/>
    <n v="5"/>
  </r>
  <r>
    <n v="3239"/>
    <x v="8"/>
    <x v="0"/>
    <x v="4"/>
    <x v="1"/>
    <n v="15"/>
    <x v="0"/>
    <s v="Yes"/>
    <x v="0"/>
    <x v="0"/>
    <n v="20"/>
    <n v="5"/>
    <n v="60"/>
  </r>
  <r>
    <n v="3240"/>
    <x v="9"/>
    <x v="2"/>
    <x v="8"/>
    <x v="0"/>
    <n v="10"/>
    <x v="2"/>
    <s v="No"/>
    <x v="1"/>
    <x v="0"/>
    <n v="20"/>
    <n v="15"/>
    <n v="15"/>
  </r>
  <r>
    <n v="3241"/>
    <x v="10"/>
    <x v="1"/>
    <x v="9"/>
    <x v="1"/>
    <n v="5"/>
    <x v="0"/>
    <s v="No"/>
    <x v="1"/>
    <x v="1"/>
    <n v="0"/>
    <n v="1"/>
    <n v="4"/>
  </r>
  <r>
    <n v="3242"/>
    <x v="11"/>
    <x v="0"/>
    <x v="10"/>
    <x v="0"/>
    <n v="15"/>
    <x v="1"/>
    <s v="Yes"/>
    <x v="0"/>
    <x v="0"/>
    <n v="20"/>
    <n v="20"/>
    <n v="45"/>
  </r>
  <r>
    <n v="3243"/>
    <x v="12"/>
    <x v="2"/>
    <x v="11"/>
    <x v="1"/>
    <n v="10"/>
    <x v="0"/>
    <s v="No"/>
    <x v="1"/>
    <x v="0"/>
    <n v="20"/>
    <n v="10"/>
    <n v="20"/>
  </r>
  <r>
    <n v="3244"/>
    <x v="13"/>
    <x v="1"/>
    <x v="12"/>
    <x v="0"/>
    <n v="5"/>
    <x v="2"/>
    <s v="No"/>
    <x v="1"/>
    <x v="1"/>
    <n v="0"/>
    <n v="0"/>
    <n v="5"/>
  </r>
  <r>
    <n v="3245"/>
    <x v="14"/>
    <x v="0"/>
    <x v="13"/>
    <x v="1"/>
    <n v="15"/>
    <x v="0"/>
    <s v="Yes"/>
    <x v="0"/>
    <x v="0"/>
    <n v="20"/>
    <n v="8"/>
    <n v="57"/>
  </r>
  <r>
    <n v="3246"/>
    <x v="15"/>
    <x v="2"/>
    <x v="14"/>
    <x v="0"/>
    <n v="10"/>
    <x v="1"/>
    <s v="No"/>
    <x v="1"/>
    <x v="0"/>
    <n v="20"/>
    <n v="12"/>
    <n v="18"/>
  </r>
  <r>
    <n v="3247"/>
    <x v="16"/>
    <x v="1"/>
    <x v="15"/>
    <x v="1"/>
    <n v="5"/>
    <x v="0"/>
    <s v="No"/>
    <x v="1"/>
    <x v="1"/>
    <n v="0"/>
    <n v="2"/>
    <n v="3"/>
  </r>
  <r>
    <n v="3248"/>
    <x v="17"/>
    <x v="0"/>
    <x v="16"/>
    <x v="0"/>
    <n v="15"/>
    <x v="2"/>
    <s v="Yes"/>
    <x v="0"/>
    <x v="0"/>
    <n v="20"/>
    <n v="7"/>
    <n v="58"/>
  </r>
  <r>
    <n v="3249"/>
    <x v="18"/>
    <x v="2"/>
    <x v="17"/>
    <x v="1"/>
    <n v="10"/>
    <x v="0"/>
    <s v="No"/>
    <x v="1"/>
    <x v="0"/>
    <n v="20"/>
    <n v="5"/>
    <n v="25"/>
  </r>
  <r>
    <n v="3250"/>
    <x v="19"/>
    <x v="1"/>
    <x v="18"/>
    <x v="0"/>
    <n v="5"/>
    <x v="1"/>
    <s v="No"/>
    <x v="1"/>
    <x v="1"/>
    <n v="0"/>
    <n v="0"/>
    <n v="5"/>
  </r>
  <r>
    <n v="3251"/>
    <x v="20"/>
    <x v="0"/>
    <x v="19"/>
    <x v="1"/>
    <n v="15"/>
    <x v="0"/>
    <s v="Yes"/>
    <x v="0"/>
    <x v="0"/>
    <n v="20"/>
    <n v="3"/>
    <n v="62"/>
  </r>
  <r>
    <n v="3252"/>
    <x v="21"/>
    <x v="2"/>
    <x v="20"/>
    <x v="0"/>
    <n v="10"/>
    <x v="2"/>
    <s v="No"/>
    <x v="1"/>
    <x v="0"/>
    <n v="20"/>
    <n v="15"/>
    <n v="15"/>
  </r>
  <r>
    <n v="3253"/>
    <x v="22"/>
    <x v="1"/>
    <x v="21"/>
    <x v="1"/>
    <n v="5"/>
    <x v="0"/>
    <s v="No"/>
    <x v="1"/>
    <x v="1"/>
    <n v="0"/>
    <n v="1"/>
    <n v="4"/>
  </r>
  <r>
    <n v="3254"/>
    <x v="23"/>
    <x v="0"/>
    <x v="22"/>
    <x v="0"/>
    <n v="15"/>
    <x v="1"/>
    <s v="Yes"/>
    <x v="0"/>
    <x v="0"/>
    <n v="20"/>
    <n v="20"/>
    <n v="45"/>
  </r>
  <r>
    <n v="3255"/>
    <x v="24"/>
    <x v="2"/>
    <x v="23"/>
    <x v="1"/>
    <n v="10"/>
    <x v="0"/>
    <s v="No"/>
    <x v="1"/>
    <x v="0"/>
    <n v="20"/>
    <n v="10"/>
    <n v="20"/>
  </r>
  <r>
    <n v="3256"/>
    <x v="25"/>
    <x v="1"/>
    <x v="24"/>
    <x v="0"/>
    <n v="5"/>
    <x v="2"/>
    <s v="No"/>
    <x v="1"/>
    <x v="1"/>
    <n v="0"/>
    <n v="0"/>
    <n v="5"/>
  </r>
  <r>
    <n v="3257"/>
    <x v="26"/>
    <x v="0"/>
    <x v="25"/>
    <x v="1"/>
    <n v="15"/>
    <x v="0"/>
    <s v="Yes"/>
    <x v="0"/>
    <x v="0"/>
    <n v="20"/>
    <n v="5"/>
    <n v="60"/>
  </r>
  <r>
    <n v="3258"/>
    <x v="27"/>
    <x v="2"/>
    <x v="26"/>
    <x v="0"/>
    <n v="10"/>
    <x v="1"/>
    <s v="No"/>
    <x v="1"/>
    <x v="0"/>
    <n v="20"/>
    <n v="15"/>
    <n v="15"/>
  </r>
  <r>
    <n v="3259"/>
    <x v="28"/>
    <x v="1"/>
    <x v="27"/>
    <x v="1"/>
    <n v="5"/>
    <x v="0"/>
    <s v="No"/>
    <x v="1"/>
    <x v="1"/>
    <n v="0"/>
    <n v="1"/>
    <n v="4"/>
  </r>
  <r>
    <n v="3260"/>
    <x v="29"/>
    <x v="0"/>
    <x v="28"/>
    <x v="0"/>
    <n v="15"/>
    <x v="2"/>
    <s v="Yes"/>
    <x v="0"/>
    <x v="0"/>
    <n v="20"/>
    <n v="7"/>
    <n v="58"/>
  </r>
  <r>
    <n v="3261"/>
    <x v="30"/>
    <x v="2"/>
    <x v="29"/>
    <x v="1"/>
    <n v="10"/>
    <x v="0"/>
    <s v="No"/>
    <x v="1"/>
    <x v="0"/>
    <n v="20"/>
    <n v="10"/>
    <n v="20"/>
  </r>
  <r>
    <n v="3262"/>
    <x v="31"/>
    <x v="1"/>
    <x v="30"/>
    <x v="0"/>
    <n v="5"/>
    <x v="1"/>
    <s v="No"/>
    <x v="1"/>
    <x v="1"/>
    <n v="0"/>
    <n v="0"/>
    <n v="5"/>
  </r>
  <r>
    <n v="3263"/>
    <x v="32"/>
    <x v="0"/>
    <x v="31"/>
    <x v="1"/>
    <n v="15"/>
    <x v="0"/>
    <s v="Yes"/>
    <x v="0"/>
    <x v="0"/>
    <n v="20"/>
    <n v="3"/>
    <n v="62"/>
  </r>
  <r>
    <n v="3264"/>
    <x v="33"/>
    <x v="2"/>
    <x v="32"/>
    <x v="0"/>
    <n v="10"/>
    <x v="2"/>
    <s v="No"/>
    <x v="1"/>
    <x v="0"/>
    <n v="20"/>
    <n v="15"/>
    <n v="15"/>
  </r>
  <r>
    <n v="3265"/>
    <x v="34"/>
    <x v="1"/>
    <x v="33"/>
    <x v="1"/>
    <n v="5"/>
    <x v="0"/>
    <s v="No"/>
    <x v="1"/>
    <x v="1"/>
    <n v="0"/>
    <n v="1"/>
    <n v="4"/>
  </r>
  <r>
    <n v="3266"/>
    <x v="35"/>
    <x v="1"/>
    <x v="34"/>
    <x v="0"/>
    <n v="5"/>
    <x v="0"/>
    <s v="No"/>
    <x v="1"/>
    <x v="1"/>
    <n v="0"/>
    <n v="0"/>
    <n v="5"/>
  </r>
  <r>
    <n v="3267"/>
    <x v="36"/>
    <x v="0"/>
    <x v="35"/>
    <x v="1"/>
    <n v="15"/>
    <x v="2"/>
    <s v="Yes"/>
    <x v="0"/>
    <x v="0"/>
    <n v="20"/>
    <n v="7"/>
    <n v="58"/>
  </r>
  <r>
    <n v="3268"/>
    <x v="37"/>
    <x v="2"/>
    <x v="36"/>
    <x v="0"/>
    <n v="10"/>
    <x v="1"/>
    <s v="No"/>
    <x v="1"/>
    <x v="0"/>
    <n v="20"/>
    <n v="10"/>
    <n v="20"/>
  </r>
  <r>
    <n v="3269"/>
    <x v="38"/>
    <x v="1"/>
    <x v="37"/>
    <x v="1"/>
    <n v="5"/>
    <x v="2"/>
    <s v="No"/>
    <x v="1"/>
    <x v="1"/>
    <n v="0"/>
    <n v="1"/>
    <n v="4"/>
  </r>
  <r>
    <n v="3270"/>
    <x v="39"/>
    <x v="0"/>
    <x v="38"/>
    <x v="0"/>
    <n v="15"/>
    <x v="0"/>
    <s v="Yes"/>
    <x v="0"/>
    <x v="0"/>
    <n v="20"/>
    <n v="15"/>
    <n v="50"/>
  </r>
  <r>
    <n v="3271"/>
    <x v="40"/>
    <x v="2"/>
    <x v="39"/>
    <x v="1"/>
    <n v="10"/>
    <x v="0"/>
    <s v="No"/>
    <x v="1"/>
    <x v="0"/>
    <n v="20"/>
    <n v="5"/>
    <n v="25"/>
  </r>
  <r>
    <n v="3272"/>
    <x v="41"/>
    <x v="1"/>
    <x v="40"/>
    <x v="0"/>
    <n v="5"/>
    <x v="1"/>
    <s v="No"/>
    <x v="1"/>
    <x v="1"/>
    <n v="0"/>
    <n v="0"/>
    <n v="5"/>
  </r>
  <r>
    <n v="3273"/>
    <x v="42"/>
    <x v="0"/>
    <x v="41"/>
    <x v="1"/>
    <n v="15"/>
    <x v="2"/>
    <s v="Yes"/>
    <x v="0"/>
    <x v="0"/>
    <n v="20"/>
    <n v="20"/>
    <n v="45"/>
  </r>
  <r>
    <n v="3274"/>
    <x v="43"/>
    <x v="2"/>
    <x v="42"/>
    <x v="0"/>
    <n v="10"/>
    <x v="2"/>
    <s v="No"/>
    <x v="1"/>
    <x v="0"/>
    <n v="20"/>
    <n v="12"/>
    <n v="18"/>
  </r>
  <r>
    <n v="3275"/>
    <x v="44"/>
    <x v="1"/>
    <x v="43"/>
    <x v="1"/>
    <n v="5"/>
    <x v="0"/>
    <s v="No"/>
    <x v="1"/>
    <x v="1"/>
    <n v="0"/>
    <n v="2"/>
    <n v="3"/>
  </r>
  <r>
    <n v="3276"/>
    <x v="45"/>
    <x v="0"/>
    <x v="44"/>
    <x v="0"/>
    <n v="15"/>
    <x v="1"/>
    <s v="Yes"/>
    <x v="0"/>
    <x v="0"/>
    <n v="20"/>
    <n v="5"/>
    <n v="60"/>
  </r>
  <r>
    <n v="3277"/>
    <x v="46"/>
    <x v="2"/>
    <x v="45"/>
    <x v="1"/>
    <n v="10"/>
    <x v="0"/>
    <s v="No"/>
    <x v="1"/>
    <x v="0"/>
    <n v="20"/>
    <n v="10"/>
    <n v="20"/>
  </r>
  <r>
    <n v="3278"/>
    <x v="47"/>
    <x v="1"/>
    <x v="46"/>
    <x v="0"/>
    <n v="5"/>
    <x v="2"/>
    <s v="No"/>
    <x v="1"/>
    <x v="1"/>
    <n v="0"/>
    <n v="0"/>
    <n v="5"/>
  </r>
  <r>
    <n v="3279"/>
    <x v="48"/>
    <x v="0"/>
    <x v="47"/>
    <x v="1"/>
    <n v="15"/>
    <x v="0"/>
    <s v="Yes"/>
    <x v="0"/>
    <x v="0"/>
    <n v="20"/>
    <n v="3"/>
    <n v="62"/>
  </r>
  <r>
    <n v="3280"/>
    <x v="49"/>
    <x v="2"/>
    <x v="48"/>
    <x v="0"/>
    <n v="10"/>
    <x v="1"/>
    <s v="No"/>
    <x v="1"/>
    <x v="0"/>
    <n v="20"/>
    <n v="15"/>
    <n v="15"/>
  </r>
  <r>
    <n v="3281"/>
    <x v="50"/>
    <x v="1"/>
    <x v="49"/>
    <x v="1"/>
    <n v="5"/>
    <x v="0"/>
    <s v="No"/>
    <x v="1"/>
    <x v="1"/>
    <n v="0"/>
    <n v="1"/>
    <n v="4"/>
  </r>
  <r>
    <n v="3282"/>
    <x v="51"/>
    <x v="0"/>
    <x v="50"/>
    <x v="0"/>
    <n v="15"/>
    <x v="2"/>
    <s v="Yes"/>
    <x v="0"/>
    <x v="0"/>
    <n v="20"/>
    <n v="7"/>
    <n v="58"/>
  </r>
  <r>
    <n v="3283"/>
    <x v="52"/>
    <x v="2"/>
    <x v="51"/>
    <x v="1"/>
    <n v="10"/>
    <x v="0"/>
    <s v="No"/>
    <x v="1"/>
    <x v="0"/>
    <n v="20"/>
    <n v="10"/>
    <n v="20"/>
  </r>
  <r>
    <n v="3284"/>
    <x v="53"/>
    <x v="1"/>
    <x v="52"/>
    <x v="0"/>
    <n v="5"/>
    <x v="1"/>
    <s v="No"/>
    <x v="1"/>
    <x v="1"/>
    <n v="0"/>
    <n v="0"/>
    <n v="5"/>
  </r>
  <r>
    <n v="3285"/>
    <x v="54"/>
    <x v="0"/>
    <x v="53"/>
    <x v="1"/>
    <n v="15"/>
    <x v="0"/>
    <s v="Yes"/>
    <x v="0"/>
    <x v="0"/>
    <n v="20"/>
    <n v="20"/>
    <n v="45"/>
  </r>
  <r>
    <n v="3286"/>
    <x v="55"/>
    <x v="2"/>
    <x v="54"/>
    <x v="0"/>
    <n v="10"/>
    <x v="2"/>
    <s v="No"/>
    <x v="1"/>
    <x v="0"/>
    <n v="20"/>
    <n v="15"/>
    <n v="15"/>
  </r>
  <r>
    <n v="3287"/>
    <x v="56"/>
    <x v="1"/>
    <x v="55"/>
    <x v="1"/>
    <n v="5"/>
    <x v="0"/>
    <s v="No"/>
    <x v="1"/>
    <x v="1"/>
    <n v="0"/>
    <n v="1"/>
    <n v="4"/>
  </r>
  <r>
    <n v="3288"/>
    <x v="57"/>
    <x v="0"/>
    <x v="56"/>
    <x v="0"/>
    <n v="15"/>
    <x v="1"/>
    <s v="Yes"/>
    <x v="0"/>
    <x v="0"/>
    <n v="20"/>
    <n v="3"/>
    <n v="62"/>
  </r>
  <r>
    <n v="3289"/>
    <x v="58"/>
    <x v="2"/>
    <x v="57"/>
    <x v="1"/>
    <n v="10"/>
    <x v="0"/>
    <s v="No"/>
    <x v="1"/>
    <x v="0"/>
    <n v="20"/>
    <n v="10"/>
    <n v="20"/>
  </r>
  <r>
    <n v="3290"/>
    <x v="59"/>
    <x v="1"/>
    <x v="58"/>
    <x v="0"/>
    <n v="5"/>
    <x v="2"/>
    <s v="No"/>
    <x v="1"/>
    <x v="1"/>
    <n v="0"/>
    <n v="0"/>
    <n v="5"/>
  </r>
  <r>
    <n v="3291"/>
    <x v="60"/>
    <x v="0"/>
    <x v="59"/>
    <x v="1"/>
    <n v="15"/>
    <x v="0"/>
    <s v="Yes"/>
    <x v="0"/>
    <x v="0"/>
    <n v="20"/>
    <n v="5"/>
    <n v="60"/>
  </r>
  <r>
    <n v="3292"/>
    <x v="61"/>
    <x v="2"/>
    <x v="60"/>
    <x v="0"/>
    <n v="10"/>
    <x v="1"/>
    <s v="No"/>
    <x v="1"/>
    <x v="0"/>
    <n v="20"/>
    <n v="15"/>
    <n v="15"/>
  </r>
  <r>
    <n v="3293"/>
    <x v="62"/>
    <x v="1"/>
    <x v="61"/>
    <x v="1"/>
    <n v="5"/>
    <x v="0"/>
    <s v="No"/>
    <x v="1"/>
    <x v="1"/>
    <n v="0"/>
    <n v="1"/>
    <n v="4"/>
  </r>
  <r>
    <n v="3294"/>
    <x v="63"/>
    <x v="0"/>
    <x v="62"/>
    <x v="0"/>
    <n v="15"/>
    <x v="2"/>
    <s v="Yes"/>
    <x v="0"/>
    <x v="0"/>
    <n v="20"/>
    <n v="20"/>
    <n v="45"/>
  </r>
  <r>
    <n v="3295"/>
    <x v="64"/>
    <x v="2"/>
    <x v="63"/>
    <x v="1"/>
    <n v="10"/>
    <x v="0"/>
    <s v="No"/>
    <x v="1"/>
    <x v="0"/>
    <n v="20"/>
    <n v="5"/>
    <n v="25"/>
  </r>
  <r>
    <n v="3296"/>
    <x v="65"/>
    <x v="1"/>
    <x v="64"/>
    <x v="1"/>
    <n v="5"/>
    <x v="0"/>
    <s v="No"/>
    <x v="1"/>
    <x v="1"/>
    <n v="0"/>
    <n v="0"/>
    <n v="5"/>
  </r>
  <r>
    <n v="3297"/>
    <x v="66"/>
    <x v="0"/>
    <x v="65"/>
    <x v="0"/>
    <n v="15"/>
    <x v="2"/>
    <s v="Yes"/>
    <x v="0"/>
    <x v="0"/>
    <n v="20"/>
    <n v="7"/>
    <n v="58"/>
  </r>
  <r>
    <n v="3298"/>
    <x v="67"/>
    <x v="2"/>
    <x v="66"/>
    <x v="1"/>
    <n v="10"/>
    <x v="1"/>
    <s v="No"/>
    <x v="1"/>
    <x v="0"/>
    <n v="20"/>
    <n v="10"/>
    <n v="20"/>
  </r>
  <r>
    <n v="3299"/>
    <x v="68"/>
    <x v="1"/>
    <x v="67"/>
    <x v="0"/>
    <n v="5"/>
    <x v="2"/>
    <s v="No"/>
    <x v="1"/>
    <x v="1"/>
    <n v="0"/>
    <n v="1"/>
    <n v="4"/>
  </r>
  <r>
    <n v="3300"/>
    <x v="69"/>
    <x v="0"/>
    <x v="68"/>
    <x v="1"/>
    <n v="15"/>
    <x v="0"/>
    <s v="Yes"/>
    <x v="0"/>
    <x v="0"/>
    <n v="20"/>
    <n v="15"/>
    <n v="50"/>
  </r>
  <r>
    <n v="3301"/>
    <x v="70"/>
    <x v="2"/>
    <x v="69"/>
    <x v="0"/>
    <n v="10"/>
    <x v="0"/>
    <s v="No"/>
    <x v="1"/>
    <x v="0"/>
    <n v="20"/>
    <n v="5"/>
    <n v="25"/>
  </r>
  <r>
    <n v="3302"/>
    <x v="71"/>
    <x v="1"/>
    <x v="70"/>
    <x v="1"/>
    <n v="5"/>
    <x v="1"/>
    <s v="No"/>
    <x v="1"/>
    <x v="1"/>
    <n v="0"/>
    <n v="0"/>
    <n v="5"/>
  </r>
  <r>
    <n v="3303"/>
    <x v="72"/>
    <x v="0"/>
    <x v="71"/>
    <x v="0"/>
    <n v="15"/>
    <x v="2"/>
    <s v="Yes"/>
    <x v="0"/>
    <x v="0"/>
    <n v="20"/>
    <n v="20"/>
    <n v="45"/>
  </r>
  <r>
    <n v="3304"/>
    <x v="73"/>
    <x v="2"/>
    <x v="72"/>
    <x v="1"/>
    <n v="10"/>
    <x v="2"/>
    <s v="No"/>
    <x v="1"/>
    <x v="0"/>
    <n v="20"/>
    <n v="12"/>
    <n v="18"/>
  </r>
  <r>
    <n v="3305"/>
    <x v="74"/>
    <x v="1"/>
    <x v="73"/>
    <x v="0"/>
    <n v="5"/>
    <x v="0"/>
    <s v="No"/>
    <x v="1"/>
    <x v="1"/>
    <n v="0"/>
    <n v="2"/>
    <n v="3"/>
  </r>
  <r>
    <n v="3306"/>
    <x v="75"/>
    <x v="0"/>
    <x v="74"/>
    <x v="1"/>
    <n v="15"/>
    <x v="1"/>
    <s v="Yes"/>
    <x v="0"/>
    <x v="0"/>
    <n v="20"/>
    <n v="5"/>
    <n v="60"/>
  </r>
  <r>
    <n v="3307"/>
    <x v="76"/>
    <x v="2"/>
    <x v="75"/>
    <x v="0"/>
    <n v="10"/>
    <x v="0"/>
    <s v="No"/>
    <x v="1"/>
    <x v="0"/>
    <n v="20"/>
    <n v="10"/>
    <n v="20"/>
  </r>
  <r>
    <n v="3308"/>
    <x v="77"/>
    <x v="1"/>
    <x v="76"/>
    <x v="1"/>
    <n v="5"/>
    <x v="2"/>
    <s v="No"/>
    <x v="1"/>
    <x v="1"/>
    <n v="0"/>
    <n v="0"/>
    <n v="5"/>
  </r>
  <r>
    <n v="3309"/>
    <x v="78"/>
    <x v="0"/>
    <x v="77"/>
    <x v="0"/>
    <n v="15"/>
    <x v="0"/>
    <s v="Yes"/>
    <x v="0"/>
    <x v="0"/>
    <n v="20"/>
    <n v="3"/>
    <n v="62"/>
  </r>
  <r>
    <n v="3310"/>
    <x v="79"/>
    <x v="2"/>
    <x v="78"/>
    <x v="1"/>
    <n v="10"/>
    <x v="1"/>
    <s v="No"/>
    <x v="1"/>
    <x v="0"/>
    <n v="20"/>
    <n v="15"/>
    <n v="15"/>
  </r>
  <r>
    <n v="3311"/>
    <x v="80"/>
    <x v="1"/>
    <x v="79"/>
    <x v="0"/>
    <n v="5"/>
    <x v="0"/>
    <s v="No"/>
    <x v="1"/>
    <x v="1"/>
    <n v="0"/>
    <n v="1"/>
    <n v="4"/>
  </r>
  <r>
    <n v="3312"/>
    <x v="81"/>
    <x v="0"/>
    <x v="80"/>
    <x v="1"/>
    <n v="15"/>
    <x v="2"/>
    <s v="Yes"/>
    <x v="0"/>
    <x v="0"/>
    <n v="20"/>
    <n v="7"/>
    <n v="58"/>
  </r>
  <r>
    <n v="3313"/>
    <x v="82"/>
    <x v="2"/>
    <x v="81"/>
    <x v="0"/>
    <n v="10"/>
    <x v="0"/>
    <s v="No"/>
    <x v="1"/>
    <x v="0"/>
    <n v="20"/>
    <n v="10"/>
    <n v="20"/>
  </r>
  <r>
    <n v="3314"/>
    <x v="83"/>
    <x v="1"/>
    <x v="82"/>
    <x v="1"/>
    <n v="5"/>
    <x v="1"/>
    <s v="No"/>
    <x v="1"/>
    <x v="1"/>
    <n v="0"/>
    <n v="0"/>
    <n v="5"/>
  </r>
  <r>
    <n v="3315"/>
    <x v="84"/>
    <x v="0"/>
    <x v="83"/>
    <x v="0"/>
    <n v="15"/>
    <x v="0"/>
    <s v="Yes"/>
    <x v="0"/>
    <x v="0"/>
    <n v="20"/>
    <n v="20"/>
    <n v="45"/>
  </r>
  <r>
    <n v="3316"/>
    <x v="85"/>
    <x v="2"/>
    <x v="84"/>
    <x v="1"/>
    <n v="10"/>
    <x v="2"/>
    <s v="No"/>
    <x v="1"/>
    <x v="0"/>
    <n v="20"/>
    <n v="15"/>
    <n v="15"/>
  </r>
  <r>
    <n v="3317"/>
    <x v="86"/>
    <x v="1"/>
    <x v="85"/>
    <x v="0"/>
    <n v="5"/>
    <x v="0"/>
    <s v="No"/>
    <x v="1"/>
    <x v="1"/>
    <n v="0"/>
    <n v="1"/>
    <n v="4"/>
  </r>
  <r>
    <n v="3318"/>
    <x v="87"/>
    <x v="0"/>
    <x v="86"/>
    <x v="1"/>
    <n v="15"/>
    <x v="1"/>
    <s v="Yes"/>
    <x v="0"/>
    <x v="0"/>
    <n v="20"/>
    <n v="3"/>
    <n v="62"/>
  </r>
  <r>
    <n v="3319"/>
    <x v="88"/>
    <x v="2"/>
    <x v="87"/>
    <x v="0"/>
    <n v="10"/>
    <x v="0"/>
    <s v="No"/>
    <x v="1"/>
    <x v="0"/>
    <n v="20"/>
    <n v="10"/>
    <n v="20"/>
  </r>
  <r>
    <n v="3320"/>
    <x v="89"/>
    <x v="1"/>
    <x v="88"/>
    <x v="1"/>
    <n v="5"/>
    <x v="2"/>
    <s v="No"/>
    <x v="1"/>
    <x v="1"/>
    <n v="0"/>
    <n v="0"/>
    <n v="5"/>
  </r>
  <r>
    <n v="3321"/>
    <x v="90"/>
    <x v="0"/>
    <x v="89"/>
    <x v="0"/>
    <n v="15"/>
    <x v="0"/>
    <s v="Yes"/>
    <x v="0"/>
    <x v="0"/>
    <n v="20"/>
    <n v="5"/>
    <n v="60"/>
  </r>
  <r>
    <n v="3322"/>
    <x v="91"/>
    <x v="2"/>
    <x v="90"/>
    <x v="1"/>
    <n v="10"/>
    <x v="1"/>
    <s v="No"/>
    <x v="1"/>
    <x v="0"/>
    <n v="20"/>
    <n v="15"/>
    <n v="15"/>
  </r>
  <r>
    <n v="3323"/>
    <x v="92"/>
    <x v="1"/>
    <x v="91"/>
    <x v="0"/>
    <n v="5"/>
    <x v="0"/>
    <s v="No"/>
    <x v="1"/>
    <x v="1"/>
    <n v="0"/>
    <n v="1"/>
    <n v="4"/>
  </r>
  <r>
    <n v="3324"/>
    <x v="93"/>
    <x v="0"/>
    <x v="92"/>
    <x v="1"/>
    <n v="15"/>
    <x v="2"/>
    <s v="Yes"/>
    <x v="0"/>
    <x v="0"/>
    <n v="20"/>
    <n v="20"/>
    <n v="45"/>
  </r>
  <r>
    <n v="3325"/>
    <x v="94"/>
    <x v="2"/>
    <x v="93"/>
    <x v="0"/>
    <n v="10"/>
    <x v="2"/>
    <s v="No"/>
    <x v="1"/>
    <x v="0"/>
    <n v="20"/>
    <n v="15"/>
    <n v="15"/>
  </r>
  <r>
    <n v="3326"/>
    <x v="95"/>
    <x v="1"/>
    <x v="94"/>
    <x v="1"/>
    <n v="5"/>
    <x v="1"/>
    <s v="No"/>
    <x v="1"/>
    <x v="1"/>
    <n v="0"/>
    <n v="0"/>
    <n v="5"/>
  </r>
  <r>
    <n v="3327"/>
    <x v="96"/>
    <x v="0"/>
    <x v="95"/>
    <x v="0"/>
    <n v="15"/>
    <x v="0"/>
    <s v="Yes"/>
    <x v="0"/>
    <x v="0"/>
    <n v="20"/>
    <n v="7"/>
    <n v="58"/>
  </r>
  <r>
    <n v="3328"/>
    <x v="97"/>
    <x v="2"/>
    <x v="96"/>
    <x v="1"/>
    <n v="10"/>
    <x v="1"/>
    <s v="No"/>
    <x v="1"/>
    <x v="0"/>
    <n v="20"/>
    <n v="10"/>
    <n v="20"/>
  </r>
  <r>
    <n v="3329"/>
    <x v="98"/>
    <x v="1"/>
    <x v="97"/>
    <x v="0"/>
    <n v="5"/>
    <x v="2"/>
    <s v="No"/>
    <x v="1"/>
    <x v="1"/>
    <n v="0"/>
    <n v="1"/>
    <n v="4"/>
  </r>
  <r>
    <n v="3330"/>
    <x v="99"/>
    <x v="0"/>
    <x v="98"/>
    <x v="1"/>
    <n v="15"/>
    <x v="0"/>
    <s v="Yes"/>
    <x v="0"/>
    <x v="0"/>
    <n v="20"/>
    <n v="15"/>
    <n v="50"/>
  </r>
  <r>
    <n v="3331"/>
    <x v="100"/>
    <x v="2"/>
    <x v="99"/>
    <x v="0"/>
    <n v="10"/>
    <x v="0"/>
    <s v="No"/>
    <x v="1"/>
    <x v="0"/>
    <n v="20"/>
    <n v="5"/>
    <n v="25"/>
  </r>
  <r>
    <n v="3332"/>
    <x v="101"/>
    <x v="1"/>
    <x v="100"/>
    <x v="1"/>
    <n v="5"/>
    <x v="1"/>
    <s v="No"/>
    <x v="1"/>
    <x v="1"/>
    <n v="0"/>
    <n v="0"/>
    <n v="5"/>
  </r>
  <r>
    <n v="3333"/>
    <x v="102"/>
    <x v="0"/>
    <x v="101"/>
    <x v="0"/>
    <n v="15"/>
    <x v="2"/>
    <s v="Yes"/>
    <x v="0"/>
    <x v="0"/>
    <n v="20"/>
    <n v="20"/>
    <n v="45"/>
  </r>
  <r>
    <n v="3334"/>
    <x v="103"/>
    <x v="2"/>
    <x v="102"/>
    <x v="1"/>
    <n v="10"/>
    <x v="2"/>
    <s v="No"/>
    <x v="1"/>
    <x v="0"/>
    <n v="20"/>
    <n v="12"/>
    <n v="18"/>
  </r>
  <r>
    <n v="3335"/>
    <x v="104"/>
    <x v="1"/>
    <x v="103"/>
    <x v="0"/>
    <n v="5"/>
    <x v="0"/>
    <s v="No"/>
    <x v="1"/>
    <x v="1"/>
    <n v="0"/>
    <n v="2"/>
    <n v="3"/>
  </r>
  <r>
    <n v="3336"/>
    <x v="105"/>
    <x v="1"/>
    <x v="104"/>
    <x v="0"/>
    <n v="5"/>
    <x v="0"/>
    <s v="No"/>
    <x v="1"/>
    <x v="1"/>
    <n v="0"/>
    <n v="0"/>
    <n v="5"/>
  </r>
  <r>
    <n v="3337"/>
    <x v="106"/>
    <x v="0"/>
    <x v="105"/>
    <x v="1"/>
    <n v="15"/>
    <x v="2"/>
    <s v="Yes"/>
    <x v="0"/>
    <x v="0"/>
    <n v="20"/>
    <n v="7"/>
    <n v="58"/>
  </r>
  <r>
    <n v="3338"/>
    <x v="107"/>
    <x v="2"/>
    <x v="106"/>
    <x v="0"/>
    <n v="10"/>
    <x v="1"/>
    <s v="No"/>
    <x v="1"/>
    <x v="0"/>
    <n v="20"/>
    <n v="10"/>
    <n v="20"/>
  </r>
  <r>
    <n v="3339"/>
    <x v="108"/>
    <x v="1"/>
    <x v="107"/>
    <x v="1"/>
    <n v="5"/>
    <x v="2"/>
    <s v="No"/>
    <x v="1"/>
    <x v="1"/>
    <n v="0"/>
    <n v="1"/>
    <n v="4"/>
  </r>
  <r>
    <n v="3340"/>
    <x v="109"/>
    <x v="0"/>
    <x v="108"/>
    <x v="0"/>
    <n v="15"/>
    <x v="0"/>
    <s v="Yes"/>
    <x v="0"/>
    <x v="0"/>
    <n v="20"/>
    <n v="15"/>
    <n v="50"/>
  </r>
  <r>
    <n v="3341"/>
    <x v="110"/>
    <x v="2"/>
    <x v="109"/>
    <x v="1"/>
    <n v="10"/>
    <x v="0"/>
    <s v="No"/>
    <x v="1"/>
    <x v="0"/>
    <n v="20"/>
    <n v="5"/>
    <n v="25"/>
  </r>
  <r>
    <n v="3342"/>
    <x v="111"/>
    <x v="1"/>
    <x v="110"/>
    <x v="0"/>
    <n v="5"/>
    <x v="1"/>
    <s v="No"/>
    <x v="1"/>
    <x v="1"/>
    <n v="0"/>
    <n v="0"/>
    <n v="5"/>
  </r>
  <r>
    <n v="3343"/>
    <x v="112"/>
    <x v="0"/>
    <x v="111"/>
    <x v="1"/>
    <n v="15"/>
    <x v="2"/>
    <s v="Yes"/>
    <x v="0"/>
    <x v="0"/>
    <n v="20"/>
    <n v="20"/>
    <n v="45"/>
  </r>
  <r>
    <n v="3344"/>
    <x v="113"/>
    <x v="2"/>
    <x v="112"/>
    <x v="0"/>
    <n v="10"/>
    <x v="2"/>
    <s v="No"/>
    <x v="1"/>
    <x v="0"/>
    <n v="20"/>
    <n v="12"/>
    <n v="18"/>
  </r>
  <r>
    <n v="3345"/>
    <x v="114"/>
    <x v="1"/>
    <x v="113"/>
    <x v="1"/>
    <n v="5"/>
    <x v="0"/>
    <s v="No"/>
    <x v="1"/>
    <x v="1"/>
    <n v="0"/>
    <n v="2"/>
    <n v="3"/>
  </r>
  <r>
    <n v="3346"/>
    <x v="115"/>
    <x v="0"/>
    <x v="114"/>
    <x v="0"/>
    <n v="15"/>
    <x v="1"/>
    <s v="Yes"/>
    <x v="0"/>
    <x v="0"/>
    <n v="20"/>
    <n v="5"/>
    <n v="60"/>
  </r>
  <r>
    <n v="3347"/>
    <x v="116"/>
    <x v="2"/>
    <x v="115"/>
    <x v="1"/>
    <n v="10"/>
    <x v="0"/>
    <s v="No"/>
    <x v="1"/>
    <x v="0"/>
    <n v="20"/>
    <n v="10"/>
    <n v="20"/>
  </r>
  <r>
    <n v="3348"/>
    <x v="117"/>
    <x v="1"/>
    <x v="116"/>
    <x v="0"/>
    <n v="5"/>
    <x v="2"/>
    <s v="No"/>
    <x v="1"/>
    <x v="1"/>
    <n v="0"/>
    <n v="0"/>
    <n v="5"/>
  </r>
  <r>
    <n v="3349"/>
    <x v="93"/>
    <x v="0"/>
    <x v="117"/>
    <x v="1"/>
    <n v="15"/>
    <x v="0"/>
    <s v="Yes"/>
    <x v="0"/>
    <x v="0"/>
    <n v="20"/>
    <n v="3"/>
    <n v="62"/>
  </r>
  <r>
    <n v="3350"/>
    <x v="118"/>
    <x v="2"/>
    <x v="118"/>
    <x v="0"/>
    <n v="10"/>
    <x v="1"/>
    <s v="No"/>
    <x v="1"/>
    <x v="0"/>
    <n v="20"/>
    <n v="15"/>
    <n v="15"/>
  </r>
  <r>
    <n v="3351"/>
    <x v="119"/>
    <x v="1"/>
    <x v="119"/>
    <x v="1"/>
    <n v="5"/>
    <x v="0"/>
    <s v="No"/>
    <x v="1"/>
    <x v="1"/>
    <n v="0"/>
    <n v="1"/>
    <n v="4"/>
  </r>
  <r>
    <n v="3352"/>
    <x v="120"/>
    <x v="0"/>
    <x v="120"/>
    <x v="0"/>
    <n v="15"/>
    <x v="2"/>
    <s v="Yes"/>
    <x v="0"/>
    <x v="0"/>
    <n v="20"/>
    <n v="7"/>
    <n v="58"/>
  </r>
  <r>
    <n v="3353"/>
    <x v="121"/>
    <x v="2"/>
    <x v="121"/>
    <x v="1"/>
    <n v="10"/>
    <x v="0"/>
    <s v="No"/>
    <x v="1"/>
    <x v="0"/>
    <n v="20"/>
    <n v="10"/>
    <n v="20"/>
  </r>
  <r>
    <n v="3354"/>
    <x v="122"/>
    <x v="1"/>
    <x v="122"/>
    <x v="0"/>
    <n v="5"/>
    <x v="1"/>
    <s v="No"/>
    <x v="1"/>
    <x v="1"/>
    <n v="0"/>
    <n v="0"/>
    <n v="5"/>
  </r>
  <r>
    <n v="3355"/>
    <x v="123"/>
    <x v="0"/>
    <x v="123"/>
    <x v="1"/>
    <n v="15"/>
    <x v="0"/>
    <s v="Yes"/>
    <x v="0"/>
    <x v="0"/>
    <n v="20"/>
    <n v="20"/>
    <n v="45"/>
  </r>
  <r>
    <n v="3356"/>
    <x v="124"/>
    <x v="2"/>
    <x v="124"/>
    <x v="0"/>
    <n v="10"/>
    <x v="2"/>
    <s v="No"/>
    <x v="1"/>
    <x v="0"/>
    <n v="20"/>
    <n v="15"/>
    <n v="15"/>
  </r>
  <r>
    <n v="3357"/>
    <x v="125"/>
    <x v="1"/>
    <x v="125"/>
    <x v="1"/>
    <n v="5"/>
    <x v="0"/>
    <s v="No"/>
    <x v="1"/>
    <x v="1"/>
    <n v="0"/>
    <n v="1"/>
    <n v="4"/>
  </r>
  <r>
    <n v="3358"/>
    <x v="126"/>
    <x v="0"/>
    <x v="126"/>
    <x v="0"/>
    <n v="15"/>
    <x v="1"/>
    <s v="Yes"/>
    <x v="0"/>
    <x v="0"/>
    <n v="20"/>
    <n v="3"/>
    <n v="62"/>
  </r>
  <r>
    <n v="3359"/>
    <x v="127"/>
    <x v="2"/>
    <x v="127"/>
    <x v="1"/>
    <n v="10"/>
    <x v="0"/>
    <s v="No"/>
    <x v="1"/>
    <x v="0"/>
    <n v="20"/>
    <n v="10"/>
    <n v="20"/>
  </r>
  <r>
    <n v="3360"/>
    <x v="128"/>
    <x v="1"/>
    <x v="128"/>
    <x v="0"/>
    <n v="5"/>
    <x v="2"/>
    <s v="No"/>
    <x v="1"/>
    <x v="1"/>
    <n v="0"/>
    <n v="0"/>
    <n v="5"/>
  </r>
  <r>
    <n v="3361"/>
    <x v="129"/>
    <x v="0"/>
    <x v="129"/>
    <x v="1"/>
    <n v="15"/>
    <x v="0"/>
    <s v="Yes"/>
    <x v="0"/>
    <x v="0"/>
    <n v="20"/>
    <n v="15"/>
    <n v="50"/>
  </r>
  <r>
    <n v="3362"/>
    <x v="130"/>
    <x v="2"/>
    <x v="130"/>
    <x v="0"/>
    <n v="10"/>
    <x v="1"/>
    <s v="No"/>
    <x v="1"/>
    <x v="0"/>
    <n v="20"/>
    <n v="15"/>
    <n v="15"/>
  </r>
  <r>
    <n v="3363"/>
    <x v="131"/>
    <x v="1"/>
    <x v="131"/>
    <x v="1"/>
    <n v="5"/>
    <x v="0"/>
    <s v="No"/>
    <x v="1"/>
    <x v="1"/>
    <n v="0"/>
    <n v="1"/>
    <n v="4"/>
  </r>
  <r>
    <n v="3364"/>
    <x v="132"/>
    <x v="0"/>
    <x v="132"/>
    <x v="0"/>
    <n v="15"/>
    <x v="2"/>
    <s v="Yes"/>
    <x v="0"/>
    <x v="0"/>
    <n v="20"/>
    <n v="7"/>
    <n v="58"/>
  </r>
  <r>
    <n v="3365"/>
    <x v="133"/>
    <x v="2"/>
    <x v="133"/>
    <x v="1"/>
    <n v="10"/>
    <x v="0"/>
    <s v="No"/>
    <x v="1"/>
    <x v="0"/>
    <n v="20"/>
    <n v="10"/>
    <n v="20"/>
  </r>
  <r>
    <n v="3366"/>
    <x v="134"/>
    <x v="1"/>
    <x v="134"/>
    <x v="0"/>
    <n v="5"/>
    <x v="0"/>
    <s v="No"/>
    <x v="1"/>
    <x v="1"/>
    <n v="0"/>
    <n v="0"/>
    <n v="5"/>
  </r>
  <r>
    <n v="3367"/>
    <x v="135"/>
    <x v="0"/>
    <x v="135"/>
    <x v="1"/>
    <n v="15"/>
    <x v="2"/>
    <s v="Yes"/>
    <x v="0"/>
    <x v="0"/>
    <n v="20"/>
    <n v="7"/>
    <n v="58"/>
  </r>
  <r>
    <n v="3368"/>
    <x v="136"/>
    <x v="2"/>
    <x v="136"/>
    <x v="0"/>
    <n v="10"/>
    <x v="1"/>
    <s v="No"/>
    <x v="1"/>
    <x v="0"/>
    <n v="20"/>
    <n v="10"/>
    <n v="20"/>
  </r>
  <r>
    <n v="3369"/>
    <x v="137"/>
    <x v="1"/>
    <x v="137"/>
    <x v="1"/>
    <n v="5"/>
    <x v="2"/>
    <s v="No"/>
    <x v="1"/>
    <x v="1"/>
    <n v="0"/>
    <n v="1"/>
    <n v="4"/>
  </r>
  <r>
    <n v="3370"/>
    <x v="138"/>
    <x v="0"/>
    <x v="138"/>
    <x v="0"/>
    <n v="15"/>
    <x v="0"/>
    <s v="Yes"/>
    <x v="0"/>
    <x v="0"/>
    <n v="20"/>
    <n v="15"/>
    <n v="50"/>
  </r>
  <r>
    <n v="3371"/>
    <x v="139"/>
    <x v="2"/>
    <x v="139"/>
    <x v="1"/>
    <n v="10"/>
    <x v="0"/>
    <s v="No"/>
    <x v="1"/>
    <x v="0"/>
    <n v="20"/>
    <n v="5"/>
    <n v="25"/>
  </r>
  <r>
    <n v="3372"/>
    <x v="140"/>
    <x v="1"/>
    <x v="140"/>
    <x v="0"/>
    <n v="5"/>
    <x v="1"/>
    <s v="No"/>
    <x v="1"/>
    <x v="1"/>
    <n v="0"/>
    <n v="0"/>
    <n v="5"/>
  </r>
  <r>
    <n v="3373"/>
    <x v="141"/>
    <x v="0"/>
    <x v="141"/>
    <x v="1"/>
    <n v="15"/>
    <x v="2"/>
    <s v="Yes"/>
    <x v="0"/>
    <x v="0"/>
    <n v="20"/>
    <n v="20"/>
    <n v="45"/>
  </r>
  <r>
    <n v="3374"/>
    <x v="142"/>
    <x v="2"/>
    <x v="142"/>
    <x v="0"/>
    <n v="10"/>
    <x v="2"/>
    <s v="No"/>
    <x v="1"/>
    <x v="0"/>
    <n v="20"/>
    <n v="12"/>
    <n v="18"/>
  </r>
  <r>
    <n v="3375"/>
    <x v="143"/>
    <x v="1"/>
    <x v="143"/>
    <x v="1"/>
    <n v="5"/>
    <x v="0"/>
    <s v="No"/>
    <x v="1"/>
    <x v="1"/>
    <n v="0"/>
    <n v="2"/>
    <n v="3"/>
  </r>
  <r>
    <n v="3376"/>
    <x v="144"/>
    <x v="0"/>
    <x v="144"/>
    <x v="0"/>
    <n v="15"/>
    <x v="1"/>
    <s v="Yes"/>
    <x v="0"/>
    <x v="0"/>
    <n v="20"/>
    <n v="5"/>
    <n v="60"/>
  </r>
  <r>
    <n v="3377"/>
    <x v="145"/>
    <x v="2"/>
    <x v="145"/>
    <x v="1"/>
    <n v="10"/>
    <x v="0"/>
    <s v="No"/>
    <x v="1"/>
    <x v="0"/>
    <n v="20"/>
    <n v="10"/>
    <n v="20"/>
  </r>
  <r>
    <n v="3378"/>
    <x v="146"/>
    <x v="1"/>
    <x v="146"/>
    <x v="0"/>
    <n v="5"/>
    <x v="2"/>
    <s v="No"/>
    <x v="1"/>
    <x v="1"/>
    <n v="0"/>
    <n v="0"/>
    <n v="5"/>
  </r>
  <r>
    <n v="3379"/>
    <x v="147"/>
    <x v="0"/>
    <x v="147"/>
    <x v="1"/>
    <n v="15"/>
    <x v="0"/>
    <s v="Yes"/>
    <x v="0"/>
    <x v="0"/>
    <n v="20"/>
    <n v="3"/>
    <n v="62"/>
  </r>
  <r>
    <n v="3380"/>
    <x v="148"/>
    <x v="2"/>
    <x v="148"/>
    <x v="0"/>
    <n v="10"/>
    <x v="1"/>
    <s v="No"/>
    <x v="1"/>
    <x v="0"/>
    <n v="20"/>
    <n v="15"/>
    <n v="15"/>
  </r>
  <r>
    <n v="3381"/>
    <x v="149"/>
    <x v="1"/>
    <x v="149"/>
    <x v="1"/>
    <n v="5"/>
    <x v="0"/>
    <s v="No"/>
    <x v="1"/>
    <x v="1"/>
    <n v="0"/>
    <n v="1"/>
    <n v="4"/>
  </r>
  <r>
    <n v="3382"/>
    <x v="150"/>
    <x v="0"/>
    <x v="150"/>
    <x v="0"/>
    <n v="15"/>
    <x v="2"/>
    <s v="Yes"/>
    <x v="0"/>
    <x v="0"/>
    <n v="20"/>
    <n v="7"/>
    <n v="58"/>
  </r>
  <r>
    <n v="3383"/>
    <x v="151"/>
    <x v="2"/>
    <x v="151"/>
    <x v="1"/>
    <n v="10"/>
    <x v="0"/>
    <s v="No"/>
    <x v="1"/>
    <x v="0"/>
    <n v="20"/>
    <n v="10"/>
    <n v="20"/>
  </r>
  <r>
    <n v="3384"/>
    <x v="152"/>
    <x v="1"/>
    <x v="152"/>
    <x v="0"/>
    <n v="5"/>
    <x v="1"/>
    <s v="No"/>
    <x v="1"/>
    <x v="1"/>
    <n v="0"/>
    <n v="0"/>
    <n v="5"/>
  </r>
  <r>
    <n v="3385"/>
    <x v="153"/>
    <x v="0"/>
    <x v="153"/>
    <x v="1"/>
    <n v="15"/>
    <x v="0"/>
    <s v="Yes"/>
    <x v="0"/>
    <x v="0"/>
    <n v="20"/>
    <n v="20"/>
    <n v="45"/>
  </r>
  <r>
    <n v="3386"/>
    <x v="154"/>
    <x v="2"/>
    <x v="154"/>
    <x v="0"/>
    <n v="10"/>
    <x v="2"/>
    <s v="No"/>
    <x v="1"/>
    <x v="0"/>
    <n v="20"/>
    <n v="15"/>
    <n v="15"/>
  </r>
  <r>
    <n v="3387"/>
    <x v="155"/>
    <x v="1"/>
    <x v="155"/>
    <x v="1"/>
    <n v="5"/>
    <x v="0"/>
    <s v="No"/>
    <x v="1"/>
    <x v="1"/>
    <n v="0"/>
    <n v="1"/>
    <n v="4"/>
  </r>
  <r>
    <n v="3388"/>
    <x v="156"/>
    <x v="0"/>
    <x v="156"/>
    <x v="0"/>
    <n v="15"/>
    <x v="1"/>
    <s v="Yes"/>
    <x v="0"/>
    <x v="0"/>
    <n v="20"/>
    <n v="3"/>
    <n v="62"/>
  </r>
  <r>
    <n v="3389"/>
    <x v="157"/>
    <x v="2"/>
    <x v="157"/>
    <x v="1"/>
    <n v="10"/>
    <x v="0"/>
    <s v="No"/>
    <x v="1"/>
    <x v="0"/>
    <n v="20"/>
    <n v="10"/>
    <n v="20"/>
  </r>
  <r>
    <n v="3390"/>
    <x v="158"/>
    <x v="1"/>
    <x v="158"/>
    <x v="0"/>
    <n v="5"/>
    <x v="2"/>
    <s v="No"/>
    <x v="1"/>
    <x v="1"/>
    <n v="0"/>
    <n v="0"/>
    <n v="5"/>
  </r>
  <r>
    <n v="3391"/>
    <x v="58"/>
    <x v="0"/>
    <x v="159"/>
    <x v="1"/>
    <n v="15"/>
    <x v="0"/>
    <s v="Yes"/>
    <x v="0"/>
    <x v="0"/>
    <n v="20"/>
    <n v="15"/>
    <n v="50"/>
  </r>
  <r>
    <n v="3392"/>
    <x v="159"/>
    <x v="2"/>
    <x v="160"/>
    <x v="0"/>
    <n v="10"/>
    <x v="1"/>
    <s v="No"/>
    <x v="1"/>
    <x v="0"/>
    <n v="20"/>
    <n v="15"/>
    <n v="15"/>
  </r>
  <r>
    <n v="3393"/>
    <x v="160"/>
    <x v="1"/>
    <x v="161"/>
    <x v="1"/>
    <n v="5"/>
    <x v="0"/>
    <s v="No"/>
    <x v="1"/>
    <x v="1"/>
    <n v="0"/>
    <n v="1"/>
    <n v="4"/>
  </r>
  <r>
    <n v="3394"/>
    <x v="161"/>
    <x v="0"/>
    <x v="162"/>
    <x v="0"/>
    <n v="15"/>
    <x v="2"/>
    <s v="Yes"/>
    <x v="0"/>
    <x v="0"/>
    <n v="20"/>
    <n v="7"/>
    <n v="58"/>
  </r>
  <r>
    <n v="3395"/>
    <x v="162"/>
    <x v="2"/>
    <x v="163"/>
    <x v="1"/>
    <n v="10"/>
    <x v="0"/>
    <s v="No"/>
    <x v="1"/>
    <x v="0"/>
    <n v="20"/>
    <n v="10"/>
    <n v="20"/>
  </r>
  <r>
    <n v="3396"/>
    <x v="163"/>
    <x v="1"/>
    <x v="164"/>
    <x v="0"/>
    <n v="5"/>
    <x v="1"/>
    <s v="No"/>
    <x v="1"/>
    <x v="1"/>
    <n v="0"/>
    <n v="0"/>
    <n v="5"/>
  </r>
  <r>
    <n v="3397"/>
    <x v="90"/>
    <x v="0"/>
    <x v="165"/>
    <x v="1"/>
    <n v="15"/>
    <x v="0"/>
    <s v="Yes"/>
    <x v="0"/>
    <x v="0"/>
    <n v="20"/>
    <n v="20"/>
    <n v="45"/>
  </r>
  <r>
    <n v="3398"/>
    <x v="164"/>
    <x v="2"/>
    <x v="166"/>
    <x v="0"/>
    <n v="10"/>
    <x v="2"/>
    <s v="No"/>
    <x v="1"/>
    <x v="0"/>
    <n v="20"/>
    <n v="15"/>
    <n v="15"/>
  </r>
  <r>
    <n v="3399"/>
    <x v="165"/>
    <x v="1"/>
    <x v="167"/>
    <x v="1"/>
    <n v="5"/>
    <x v="0"/>
    <s v="No"/>
    <x v="1"/>
    <x v="1"/>
    <n v="0"/>
    <n v="1"/>
    <n v="4"/>
  </r>
  <r>
    <n v="3400"/>
    <x v="166"/>
    <x v="0"/>
    <x v="168"/>
    <x v="0"/>
    <n v="15"/>
    <x v="1"/>
    <s v="Yes"/>
    <x v="0"/>
    <x v="0"/>
    <n v="20"/>
    <n v="5"/>
    <n v="60"/>
  </r>
  <r>
    <n v="3401"/>
    <x v="167"/>
    <x v="2"/>
    <x v="169"/>
    <x v="1"/>
    <n v="10"/>
    <x v="0"/>
    <s v="No"/>
    <x v="1"/>
    <x v="0"/>
    <n v="20"/>
    <n v="10"/>
    <n v="20"/>
  </r>
  <r>
    <n v="3402"/>
    <x v="168"/>
    <x v="1"/>
    <x v="170"/>
    <x v="0"/>
    <n v="5"/>
    <x v="2"/>
    <s v="No"/>
    <x v="1"/>
    <x v="1"/>
    <n v="0"/>
    <n v="0"/>
    <n v="5"/>
  </r>
  <r>
    <n v="3403"/>
    <x v="169"/>
    <x v="0"/>
    <x v="171"/>
    <x v="1"/>
    <n v="15"/>
    <x v="0"/>
    <s v="Yes"/>
    <x v="0"/>
    <x v="0"/>
    <n v="20"/>
    <n v="3"/>
    <n v="62"/>
  </r>
  <r>
    <n v="3404"/>
    <x v="170"/>
    <x v="2"/>
    <x v="172"/>
    <x v="0"/>
    <n v="10"/>
    <x v="1"/>
    <s v="No"/>
    <x v="1"/>
    <x v="0"/>
    <n v="20"/>
    <n v="15"/>
    <n v="15"/>
  </r>
  <r>
    <n v="3405"/>
    <x v="171"/>
    <x v="1"/>
    <x v="173"/>
    <x v="1"/>
    <n v="5"/>
    <x v="0"/>
    <s v="No"/>
    <x v="1"/>
    <x v="1"/>
    <n v="0"/>
    <n v="1"/>
    <n v="4"/>
  </r>
  <r>
    <n v="3406"/>
    <x v="172"/>
    <x v="1"/>
    <x v="174"/>
    <x v="0"/>
    <n v="5"/>
    <x v="0"/>
    <s v="No"/>
    <x v="1"/>
    <x v="1"/>
    <n v="0"/>
    <n v="0"/>
    <n v="5"/>
  </r>
  <r>
    <n v="3407"/>
    <x v="173"/>
    <x v="0"/>
    <x v="175"/>
    <x v="1"/>
    <n v="15"/>
    <x v="2"/>
    <s v="Yes"/>
    <x v="0"/>
    <x v="0"/>
    <n v="20"/>
    <n v="7"/>
    <n v="58"/>
  </r>
  <r>
    <n v="3408"/>
    <x v="174"/>
    <x v="2"/>
    <x v="176"/>
    <x v="0"/>
    <n v="10"/>
    <x v="1"/>
    <s v="No"/>
    <x v="1"/>
    <x v="0"/>
    <n v="20"/>
    <n v="10"/>
    <n v="20"/>
  </r>
  <r>
    <n v="3409"/>
    <x v="175"/>
    <x v="1"/>
    <x v="177"/>
    <x v="1"/>
    <n v="5"/>
    <x v="2"/>
    <s v="No"/>
    <x v="1"/>
    <x v="1"/>
    <n v="0"/>
    <n v="1"/>
    <n v="4"/>
  </r>
  <r>
    <n v="3410"/>
    <x v="176"/>
    <x v="0"/>
    <x v="178"/>
    <x v="0"/>
    <n v="15"/>
    <x v="0"/>
    <s v="Yes"/>
    <x v="0"/>
    <x v="0"/>
    <n v="20"/>
    <n v="15"/>
    <n v="50"/>
  </r>
  <r>
    <n v="3411"/>
    <x v="177"/>
    <x v="2"/>
    <x v="179"/>
    <x v="1"/>
    <n v="10"/>
    <x v="0"/>
    <s v="No"/>
    <x v="1"/>
    <x v="0"/>
    <n v="20"/>
    <n v="5"/>
    <n v="25"/>
  </r>
  <r>
    <n v="3412"/>
    <x v="178"/>
    <x v="1"/>
    <x v="180"/>
    <x v="0"/>
    <n v="5"/>
    <x v="1"/>
    <s v="No"/>
    <x v="1"/>
    <x v="1"/>
    <n v="0"/>
    <n v="0"/>
    <n v="5"/>
  </r>
  <r>
    <n v="3413"/>
    <x v="179"/>
    <x v="0"/>
    <x v="181"/>
    <x v="1"/>
    <n v="15"/>
    <x v="2"/>
    <s v="Yes"/>
    <x v="0"/>
    <x v="0"/>
    <n v="20"/>
    <n v="20"/>
    <n v="45"/>
  </r>
  <r>
    <n v="3414"/>
    <x v="180"/>
    <x v="2"/>
    <x v="182"/>
    <x v="0"/>
    <n v="10"/>
    <x v="2"/>
    <s v="No"/>
    <x v="1"/>
    <x v="0"/>
    <n v="20"/>
    <n v="12"/>
    <n v="18"/>
  </r>
  <r>
    <n v="3415"/>
    <x v="181"/>
    <x v="1"/>
    <x v="183"/>
    <x v="1"/>
    <n v="5"/>
    <x v="0"/>
    <s v="No"/>
    <x v="1"/>
    <x v="1"/>
    <n v="0"/>
    <n v="2"/>
    <n v="3"/>
  </r>
  <r>
    <n v="3416"/>
    <x v="182"/>
    <x v="0"/>
    <x v="184"/>
    <x v="0"/>
    <n v="15"/>
    <x v="1"/>
    <s v="Yes"/>
    <x v="0"/>
    <x v="0"/>
    <n v="20"/>
    <n v="5"/>
    <n v="60"/>
  </r>
  <r>
    <n v="3417"/>
    <x v="183"/>
    <x v="2"/>
    <x v="185"/>
    <x v="1"/>
    <n v="10"/>
    <x v="0"/>
    <s v="No"/>
    <x v="1"/>
    <x v="0"/>
    <n v="20"/>
    <n v="10"/>
    <n v="20"/>
  </r>
  <r>
    <n v="3418"/>
    <x v="184"/>
    <x v="1"/>
    <x v="186"/>
    <x v="0"/>
    <n v="5"/>
    <x v="2"/>
    <s v="No"/>
    <x v="1"/>
    <x v="1"/>
    <n v="0"/>
    <n v="0"/>
    <n v="5"/>
  </r>
  <r>
    <n v="3419"/>
    <x v="185"/>
    <x v="0"/>
    <x v="187"/>
    <x v="1"/>
    <n v="15"/>
    <x v="0"/>
    <s v="Yes"/>
    <x v="0"/>
    <x v="0"/>
    <n v="20"/>
    <n v="3"/>
    <n v="62"/>
  </r>
  <r>
    <n v="3420"/>
    <x v="186"/>
    <x v="2"/>
    <x v="188"/>
    <x v="0"/>
    <n v="10"/>
    <x v="1"/>
    <s v="No"/>
    <x v="1"/>
    <x v="0"/>
    <n v="20"/>
    <n v="15"/>
    <n v="15"/>
  </r>
  <r>
    <n v="3421"/>
    <x v="15"/>
    <x v="1"/>
    <x v="189"/>
    <x v="1"/>
    <n v="5"/>
    <x v="0"/>
    <s v="No"/>
    <x v="1"/>
    <x v="1"/>
    <n v="0"/>
    <n v="1"/>
    <n v="4"/>
  </r>
  <r>
    <n v="3422"/>
    <x v="187"/>
    <x v="0"/>
    <x v="190"/>
    <x v="0"/>
    <n v="15"/>
    <x v="2"/>
    <s v="Yes"/>
    <x v="0"/>
    <x v="0"/>
    <n v="20"/>
    <n v="7"/>
    <n v="58"/>
  </r>
  <r>
    <n v="3423"/>
    <x v="188"/>
    <x v="2"/>
    <x v="191"/>
    <x v="1"/>
    <n v="10"/>
    <x v="0"/>
    <s v="No"/>
    <x v="1"/>
    <x v="0"/>
    <n v="20"/>
    <n v="10"/>
    <n v="20"/>
  </r>
  <r>
    <n v="3424"/>
    <x v="14"/>
    <x v="1"/>
    <x v="192"/>
    <x v="0"/>
    <n v="5"/>
    <x v="1"/>
    <s v="No"/>
    <x v="1"/>
    <x v="1"/>
    <n v="0"/>
    <n v="0"/>
    <n v="5"/>
  </r>
  <r>
    <n v="3425"/>
    <x v="189"/>
    <x v="0"/>
    <x v="193"/>
    <x v="1"/>
    <n v="15"/>
    <x v="0"/>
    <s v="Yes"/>
    <x v="0"/>
    <x v="0"/>
    <n v="20"/>
    <n v="20"/>
    <n v="45"/>
  </r>
  <r>
    <n v="3426"/>
    <x v="167"/>
    <x v="2"/>
    <x v="194"/>
    <x v="0"/>
    <n v="10"/>
    <x v="2"/>
    <s v="No"/>
    <x v="1"/>
    <x v="0"/>
    <n v="20"/>
    <n v="15"/>
    <n v="15"/>
  </r>
  <r>
    <n v="3427"/>
    <x v="190"/>
    <x v="1"/>
    <x v="195"/>
    <x v="1"/>
    <n v="5"/>
    <x v="0"/>
    <s v="No"/>
    <x v="1"/>
    <x v="1"/>
    <n v="0"/>
    <n v="1"/>
    <n v="4"/>
  </r>
  <r>
    <n v="3428"/>
    <x v="191"/>
    <x v="0"/>
    <x v="196"/>
    <x v="0"/>
    <n v="15"/>
    <x v="1"/>
    <s v="Yes"/>
    <x v="0"/>
    <x v="0"/>
    <n v="20"/>
    <n v="3"/>
    <n v="62"/>
  </r>
  <r>
    <n v="3429"/>
    <x v="192"/>
    <x v="2"/>
    <x v="197"/>
    <x v="1"/>
    <n v="10"/>
    <x v="0"/>
    <s v="No"/>
    <x v="1"/>
    <x v="0"/>
    <n v="20"/>
    <n v="10"/>
    <n v="20"/>
  </r>
  <r>
    <n v="3430"/>
    <x v="193"/>
    <x v="1"/>
    <x v="198"/>
    <x v="0"/>
    <n v="5"/>
    <x v="2"/>
    <s v="No"/>
    <x v="1"/>
    <x v="1"/>
    <n v="0"/>
    <n v="0"/>
    <n v="5"/>
  </r>
  <r>
    <n v="3431"/>
    <x v="194"/>
    <x v="0"/>
    <x v="199"/>
    <x v="1"/>
    <n v="15"/>
    <x v="0"/>
    <s v="Yes"/>
    <x v="0"/>
    <x v="0"/>
    <n v="20"/>
    <n v="15"/>
    <n v="50"/>
  </r>
  <r>
    <n v="3432"/>
    <x v="195"/>
    <x v="2"/>
    <x v="200"/>
    <x v="0"/>
    <n v="10"/>
    <x v="1"/>
    <s v="No"/>
    <x v="1"/>
    <x v="0"/>
    <n v="20"/>
    <n v="15"/>
    <n v="15"/>
  </r>
  <r>
    <n v="3433"/>
    <x v="196"/>
    <x v="1"/>
    <x v="201"/>
    <x v="1"/>
    <n v="5"/>
    <x v="0"/>
    <s v="No"/>
    <x v="1"/>
    <x v="1"/>
    <n v="0"/>
    <n v="1"/>
    <n v="4"/>
  </r>
  <r>
    <n v="3434"/>
    <x v="197"/>
    <x v="0"/>
    <x v="202"/>
    <x v="0"/>
    <n v="15"/>
    <x v="2"/>
    <s v="Yes"/>
    <x v="0"/>
    <x v="0"/>
    <n v="20"/>
    <n v="7"/>
    <n v="58"/>
  </r>
  <r>
    <n v="3435"/>
    <x v="198"/>
    <x v="2"/>
    <x v="203"/>
    <x v="1"/>
    <n v="10"/>
    <x v="0"/>
    <s v="No"/>
    <x v="1"/>
    <x v="0"/>
    <n v="20"/>
    <n v="10"/>
    <n v="20"/>
  </r>
  <r>
    <n v="3436"/>
    <x v="199"/>
    <x v="1"/>
    <x v="204"/>
    <x v="0"/>
    <n v="5"/>
    <x v="0"/>
    <s v="No"/>
    <x v="1"/>
    <x v="1"/>
    <n v="0"/>
    <n v="0"/>
    <n v="5"/>
  </r>
  <r>
    <n v="3437"/>
    <x v="200"/>
    <x v="0"/>
    <x v="205"/>
    <x v="1"/>
    <n v="15"/>
    <x v="2"/>
    <s v="Yes"/>
    <x v="0"/>
    <x v="0"/>
    <n v="20"/>
    <n v="7"/>
    <n v="58"/>
  </r>
  <r>
    <n v="3438"/>
    <x v="201"/>
    <x v="2"/>
    <x v="206"/>
    <x v="0"/>
    <n v="10"/>
    <x v="1"/>
    <s v="No"/>
    <x v="1"/>
    <x v="0"/>
    <n v="20"/>
    <n v="10"/>
    <n v="20"/>
  </r>
  <r>
    <n v="3439"/>
    <x v="202"/>
    <x v="1"/>
    <x v="207"/>
    <x v="1"/>
    <n v="5"/>
    <x v="2"/>
    <s v="No"/>
    <x v="1"/>
    <x v="1"/>
    <n v="0"/>
    <n v="1"/>
    <n v="4"/>
  </r>
  <r>
    <n v="3440"/>
    <x v="203"/>
    <x v="0"/>
    <x v="208"/>
    <x v="0"/>
    <n v="15"/>
    <x v="0"/>
    <s v="Yes"/>
    <x v="0"/>
    <x v="0"/>
    <n v="20"/>
    <n v="15"/>
    <n v="50"/>
  </r>
  <r>
    <n v="3441"/>
    <x v="204"/>
    <x v="2"/>
    <x v="209"/>
    <x v="1"/>
    <n v="10"/>
    <x v="0"/>
    <s v="No"/>
    <x v="1"/>
    <x v="0"/>
    <n v="20"/>
    <n v="5"/>
    <n v="25"/>
  </r>
  <r>
    <n v="3442"/>
    <x v="205"/>
    <x v="1"/>
    <x v="210"/>
    <x v="0"/>
    <n v="5"/>
    <x v="1"/>
    <s v="No"/>
    <x v="1"/>
    <x v="1"/>
    <n v="0"/>
    <n v="0"/>
    <n v="5"/>
  </r>
  <r>
    <n v="3443"/>
    <x v="206"/>
    <x v="0"/>
    <x v="211"/>
    <x v="1"/>
    <n v="15"/>
    <x v="2"/>
    <s v="Yes"/>
    <x v="0"/>
    <x v="0"/>
    <n v="20"/>
    <n v="20"/>
    <n v="45"/>
  </r>
  <r>
    <n v="3444"/>
    <x v="207"/>
    <x v="2"/>
    <x v="212"/>
    <x v="0"/>
    <n v="10"/>
    <x v="2"/>
    <s v="No"/>
    <x v="1"/>
    <x v="0"/>
    <n v="20"/>
    <n v="12"/>
    <n v="18"/>
  </r>
  <r>
    <n v="3445"/>
    <x v="37"/>
    <x v="1"/>
    <x v="213"/>
    <x v="1"/>
    <n v="5"/>
    <x v="0"/>
    <s v="No"/>
    <x v="1"/>
    <x v="1"/>
    <n v="0"/>
    <n v="2"/>
    <n v="3"/>
  </r>
  <r>
    <n v="3446"/>
    <x v="208"/>
    <x v="0"/>
    <x v="214"/>
    <x v="0"/>
    <n v="15"/>
    <x v="1"/>
    <s v="Yes"/>
    <x v="0"/>
    <x v="0"/>
    <n v="20"/>
    <n v="5"/>
    <n v="60"/>
  </r>
  <r>
    <n v="3447"/>
    <x v="209"/>
    <x v="2"/>
    <x v="215"/>
    <x v="1"/>
    <n v="10"/>
    <x v="0"/>
    <s v="No"/>
    <x v="1"/>
    <x v="0"/>
    <n v="20"/>
    <n v="10"/>
    <n v="20"/>
  </r>
  <r>
    <n v="3448"/>
    <x v="210"/>
    <x v="1"/>
    <x v="216"/>
    <x v="0"/>
    <n v="5"/>
    <x v="2"/>
    <s v="No"/>
    <x v="1"/>
    <x v="1"/>
    <n v="0"/>
    <n v="0"/>
    <n v="5"/>
  </r>
  <r>
    <n v="3449"/>
    <x v="211"/>
    <x v="0"/>
    <x v="217"/>
    <x v="1"/>
    <n v="15"/>
    <x v="0"/>
    <s v="Yes"/>
    <x v="0"/>
    <x v="0"/>
    <n v="20"/>
    <n v="3"/>
    <n v="62"/>
  </r>
  <r>
    <n v="3450"/>
    <x v="212"/>
    <x v="2"/>
    <x v="218"/>
    <x v="0"/>
    <n v="10"/>
    <x v="1"/>
    <s v="No"/>
    <x v="1"/>
    <x v="0"/>
    <n v="20"/>
    <n v="15"/>
    <n v="15"/>
  </r>
  <r>
    <n v="3451"/>
    <x v="213"/>
    <x v="1"/>
    <x v="219"/>
    <x v="1"/>
    <n v="5"/>
    <x v="0"/>
    <s v="No"/>
    <x v="1"/>
    <x v="1"/>
    <n v="0"/>
    <n v="1"/>
    <n v="4"/>
  </r>
  <r>
    <n v="3452"/>
    <x v="191"/>
    <x v="0"/>
    <x v="220"/>
    <x v="0"/>
    <n v="15"/>
    <x v="2"/>
    <s v="Yes"/>
    <x v="0"/>
    <x v="0"/>
    <n v="20"/>
    <n v="7"/>
    <n v="58"/>
  </r>
  <r>
    <n v="3453"/>
    <x v="45"/>
    <x v="2"/>
    <x v="221"/>
    <x v="1"/>
    <n v="10"/>
    <x v="0"/>
    <s v="No"/>
    <x v="1"/>
    <x v="0"/>
    <n v="20"/>
    <n v="10"/>
    <n v="20"/>
  </r>
  <r>
    <n v="3454"/>
    <x v="214"/>
    <x v="1"/>
    <x v="222"/>
    <x v="0"/>
    <n v="5"/>
    <x v="1"/>
    <s v="No"/>
    <x v="1"/>
    <x v="1"/>
    <n v="0"/>
    <n v="0"/>
    <n v="5"/>
  </r>
  <r>
    <n v="3455"/>
    <x v="215"/>
    <x v="0"/>
    <x v="223"/>
    <x v="1"/>
    <n v="15"/>
    <x v="0"/>
    <s v="Yes"/>
    <x v="0"/>
    <x v="0"/>
    <n v="20"/>
    <n v="20"/>
    <n v="45"/>
  </r>
  <r>
    <n v="3456"/>
    <x v="216"/>
    <x v="2"/>
    <x v="224"/>
    <x v="0"/>
    <n v="10"/>
    <x v="2"/>
    <s v="No"/>
    <x v="1"/>
    <x v="0"/>
    <n v="20"/>
    <n v="15"/>
    <n v="15"/>
  </r>
  <r>
    <n v="3457"/>
    <x v="217"/>
    <x v="1"/>
    <x v="225"/>
    <x v="1"/>
    <n v="5"/>
    <x v="0"/>
    <s v="No"/>
    <x v="1"/>
    <x v="1"/>
    <n v="0"/>
    <n v="1"/>
    <n v="4"/>
  </r>
  <r>
    <n v="3458"/>
    <x v="218"/>
    <x v="0"/>
    <x v="226"/>
    <x v="0"/>
    <n v="15"/>
    <x v="1"/>
    <s v="Yes"/>
    <x v="0"/>
    <x v="0"/>
    <n v="20"/>
    <n v="3"/>
    <n v="62"/>
  </r>
  <r>
    <n v="3459"/>
    <x v="219"/>
    <x v="2"/>
    <x v="227"/>
    <x v="1"/>
    <n v="10"/>
    <x v="0"/>
    <s v="No"/>
    <x v="1"/>
    <x v="0"/>
    <n v="20"/>
    <n v="10"/>
    <n v="20"/>
  </r>
  <r>
    <n v="3460"/>
    <x v="127"/>
    <x v="1"/>
    <x v="228"/>
    <x v="0"/>
    <n v="5"/>
    <x v="2"/>
    <s v="No"/>
    <x v="1"/>
    <x v="1"/>
    <n v="0"/>
    <n v="0"/>
    <n v="5"/>
  </r>
  <r>
    <n v="3461"/>
    <x v="220"/>
    <x v="0"/>
    <x v="229"/>
    <x v="1"/>
    <n v="15"/>
    <x v="0"/>
    <s v="Yes"/>
    <x v="0"/>
    <x v="0"/>
    <n v="20"/>
    <n v="15"/>
    <n v="50"/>
  </r>
  <r>
    <n v="3462"/>
    <x v="221"/>
    <x v="2"/>
    <x v="230"/>
    <x v="0"/>
    <n v="10"/>
    <x v="1"/>
    <s v="No"/>
    <x v="1"/>
    <x v="0"/>
    <n v="20"/>
    <n v="15"/>
    <n v="15"/>
  </r>
  <r>
    <n v="3463"/>
    <x v="222"/>
    <x v="1"/>
    <x v="231"/>
    <x v="1"/>
    <n v="5"/>
    <x v="0"/>
    <s v="No"/>
    <x v="1"/>
    <x v="1"/>
    <n v="0"/>
    <n v="1"/>
    <n v="4"/>
  </r>
  <r>
    <n v="3464"/>
    <x v="223"/>
    <x v="0"/>
    <x v="232"/>
    <x v="0"/>
    <n v="15"/>
    <x v="2"/>
    <s v="Yes"/>
    <x v="0"/>
    <x v="0"/>
    <n v="20"/>
    <n v="7"/>
    <n v="58"/>
  </r>
  <r>
    <n v="3465"/>
    <x v="224"/>
    <x v="2"/>
    <x v="233"/>
    <x v="1"/>
    <n v="10"/>
    <x v="0"/>
    <s v="No"/>
    <x v="1"/>
    <x v="0"/>
    <n v="20"/>
    <n v="10"/>
    <n v="20"/>
  </r>
  <r>
    <n v="3466"/>
    <x v="225"/>
    <x v="1"/>
    <x v="234"/>
    <x v="0"/>
    <n v="5"/>
    <x v="1"/>
    <s v="No"/>
    <x v="1"/>
    <x v="1"/>
    <n v="0"/>
    <n v="0"/>
    <n v="5"/>
  </r>
  <r>
    <n v="3467"/>
    <x v="226"/>
    <x v="0"/>
    <x v="235"/>
    <x v="1"/>
    <n v="15"/>
    <x v="0"/>
    <s v="Yes"/>
    <x v="0"/>
    <x v="0"/>
    <n v="20"/>
    <n v="15"/>
    <n v="50"/>
  </r>
  <r>
    <n v="3468"/>
    <x v="227"/>
    <x v="2"/>
    <x v="236"/>
    <x v="0"/>
    <n v="10"/>
    <x v="2"/>
    <s v="No"/>
    <x v="1"/>
    <x v="0"/>
    <n v="20"/>
    <n v="12"/>
    <n v="18"/>
  </r>
  <r>
    <n v="3469"/>
    <x v="228"/>
    <x v="1"/>
    <x v="237"/>
    <x v="1"/>
    <n v="5"/>
    <x v="0"/>
    <s v="No"/>
    <x v="1"/>
    <x v="1"/>
    <n v="0"/>
    <n v="2"/>
    <n v="3"/>
  </r>
  <r>
    <n v="3470"/>
    <x v="229"/>
    <x v="0"/>
    <x v="238"/>
    <x v="0"/>
    <n v="15"/>
    <x v="1"/>
    <s v="Yes"/>
    <x v="0"/>
    <x v="0"/>
    <n v="20"/>
    <n v="5"/>
    <n v="60"/>
  </r>
  <r>
    <n v="3471"/>
    <x v="230"/>
    <x v="2"/>
    <x v="239"/>
    <x v="1"/>
    <n v="10"/>
    <x v="0"/>
    <s v="No"/>
    <x v="1"/>
    <x v="0"/>
    <n v="20"/>
    <n v="10"/>
    <n v="20"/>
  </r>
  <r>
    <n v="3472"/>
    <x v="231"/>
    <x v="1"/>
    <x v="240"/>
    <x v="0"/>
    <n v="5"/>
    <x v="2"/>
    <s v="No"/>
    <x v="1"/>
    <x v="1"/>
    <n v="0"/>
    <n v="0"/>
    <n v="5"/>
  </r>
  <r>
    <n v="3473"/>
    <x v="140"/>
    <x v="0"/>
    <x v="241"/>
    <x v="1"/>
    <n v="15"/>
    <x v="0"/>
    <s v="Yes"/>
    <x v="0"/>
    <x v="0"/>
    <n v="20"/>
    <n v="3"/>
    <n v="62"/>
  </r>
  <r>
    <n v="3474"/>
    <x v="232"/>
    <x v="2"/>
    <x v="242"/>
    <x v="0"/>
    <n v="10"/>
    <x v="1"/>
    <s v="No"/>
    <x v="1"/>
    <x v="0"/>
    <n v="20"/>
    <n v="15"/>
    <n v="15"/>
  </r>
  <r>
    <n v="3475"/>
    <x v="233"/>
    <x v="1"/>
    <x v="243"/>
    <x v="1"/>
    <n v="5"/>
    <x v="0"/>
    <s v="No"/>
    <x v="1"/>
    <x v="1"/>
    <n v="0"/>
    <n v="1"/>
    <n v="4"/>
  </r>
  <r>
    <n v="3476"/>
    <x v="234"/>
    <x v="0"/>
    <x v="244"/>
    <x v="0"/>
    <n v="15"/>
    <x v="2"/>
    <s v="Yes"/>
    <x v="0"/>
    <x v="0"/>
    <n v="20"/>
    <n v="7"/>
    <n v="58"/>
  </r>
  <r>
    <n v="3477"/>
    <x v="235"/>
    <x v="2"/>
    <x v="245"/>
    <x v="1"/>
    <n v="10"/>
    <x v="0"/>
    <s v="No"/>
    <x v="1"/>
    <x v="0"/>
    <n v="20"/>
    <n v="10"/>
    <n v="20"/>
  </r>
  <r>
    <n v="3478"/>
    <x v="236"/>
    <x v="1"/>
    <x v="246"/>
    <x v="0"/>
    <n v="5"/>
    <x v="1"/>
    <s v="No"/>
    <x v="1"/>
    <x v="1"/>
    <n v="0"/>
    <n v="0"/>
    <n v="5"/>
  </r>
  <r>
    <n v="3479"/>
    <x v="237"/>
    <x v="0"/>
    <x v="247"/>
    <x v="1"/>
    <n v="15"/>
    <x v="0"/>
    <s v="Yes"/>
    <x v="0"/>
    <x v="0"/>
    <n v="20"/>
    <n v="20"/>
    <n v="45"/>
  </r>
  <r>
    <n v="3480"/>
    <x v="238"/>
    <x v="2"/>
    <x v="248"/>
    <x v="0"/>
    <n v="10"/>
    <x v="2"/>
    <s v="No"/>
    <x v="1"/>
    <x v="0"/>
    <n v="20"/>
    <n v="15"/>
    <n v="15"/>
  </r>
  <r>
    <n v="3481"/>
    <x v="239"/>
    <x v="1"/>
    <x v="249"/>
    <x v="1"/>
    <n v="5"/>
    <x v="0"/>
    <s v="No"/>
    <x v="1"/>
    <x v="1"/>
    <n v="0"/>
    <n v="1"/>
    <n v="4"/>
  </r>
  <r>
    <n v="3482"/>
    <x v="240"/>
    <x v="0"/>
    <x v="250"/>
    <x v="0"/>
    <n v="15"/>
    <x v="1"/>
    <s v="Yes"/>
    <x v="0"/>
    <x v="0"/>
    <n v="20"/>
    <n v="3"/>
    <n v="62"/>
  </r>
  <r>
    <n v="3483"/>
    <x v="241"/>
    <x v="2"/>
    <x v="251"/>
    <x v="1"/>
    <n v="10"/>
    <x v="0"/>
    <s v="No"/>
    <x v="1"/>
    <x v="0"/>
    <n v="20"/>
    <n v="10"/>
    <n v="20"/>
  </r>
  <r>
    <n v="3484"/>
    <x v="242"/>
    <x v="1"/>
    <x v="252"/>
    <x v="0"/>
    <n v="5"/>
    <x v="2"/>
    <s v="No"/>
    <x v="1"/>
    <x v="1"/>
    <n v="0"/>
    <n v="0"/>
    <n v="5"/>
  </r>
  <r>
    <n v="3485"/>
    <x v="243"/>
    <x v="0"/>
    <x v="253"/>
    <x v="1"/>
    <n v="15"/>
    <x v="0"/>
    <s v="Yes"/>
    <x v="0"/>
    <x v="0"/>
    <n v="20"/>
    <n v="15"/>
    <n v="50"/>
  </r>
  <r>
    <n v="3486"/>
    <x v="244"/>
    <x v="1"/>
    <x v="254"/>
    <x v="0"/>
    <n v="5"/>
    <x v="0"/>
    <s v="No"/>
    <x v="1"/>
    <x v="1"/>
    <n v="0"/>
    <n v="0"/>
    <n v="5"/>
  </r>
  <r>
    <n v="3487"/>
    <x v="245"/>
    <x v="0"/>
    <x v="255"/>
    <x v="1"/>
    <n v="15"/>
    <x v="2"/>
    <s v="Yes"/>
    <x v="0"/>
    <x v="0"/>
    <n v="20"/>
    <n v="7"/>
    <n v="58"/>
  </r>
  <r>
    <n v="3488"/>
    <x v="246"/>
    <x v="2"/>
    <x v="256"/>
    <x v="0"/>
    <n v="10"/>
    <x v="1"/>
    <s v="No"/>
    <x v="1"/>
    <x v="0"/>
    <n v="20"/>
    <n v="10"/>
    <n v="20"/>
  </r>
  <r>
    <n v="3489"/>
    <x v="247"/>
    <x v="1"/>
    <x v="257"/>
    <x v="1"/>
    <n v="5"/>
    <x v="2"/>
    <s v="No"/>
    <x v="1"/>
    <x v="1"/>
    <n v="0"/>
    <n v="1"/>
    <n v="4"/>
  </r>
  <r>
    <n v="3490"/>
    <x v="248"/>
    <x v="0"/>
    <x v="258"/>
    <x v="0"/>
    <n v="15"/>
    <x v="0"/>
    <s v="Yes"/>
    <x v="0"/>
    <x v="0"/>
    <n v="20"/>
    <n v="15"/>
    <n v="50"/>
  </r>
  <r>
    <n v="3491"/>
    <x v="249"/>
    <x v="2"/>
    <x v="259"/>
    <x v="1"/>
    <n v="10"/>
    <x v="0"/>
    <s v="No"/>
    <x v="1"/>
    <x v="0"/>
    <n v="20"/>
    <n v="5"/>
    <n v="25"/>
  </r>
  <r>
    <n v="3492"/>
    <x v="250"/>
    <x v="1"/>
    <x v="260"/>
    <x v="0"/>
    <n v="5"/>
    <x v="1"/>
    <s v="No"/>
    <x v="1"/>
    <x v="1"/>
    <n v="0"/>
    <n v="0"/>
    <n v="5"/>
  </r>
  <r>
    <n v="3493"/>
    <x v="251"/>
    <x v="0"/>
    <x v="261"/>
    <x v="1"/>
    <n v="15"/>
    <x v="2"/>
    <s v="Yes"/>
    <x v="0"/>
    <x v="0"/>
    <n v="20"/>
    <n v="20"/>
    <n v="45"/>
  </r>
  <r>
    <n v="3494"/>
    <x v="252"/>
    <x v="2"/>
    <x v="262"/>
    <x v="0"/>
    <n v="10"/>
    <x v="2"/>
    <s v="No"/>
    <x v="1"/>
    <x v="0"/>
    <n v="20"/>
    <n v="12"/>
    <n v="18"/>
  </r>
  <r>
    <n v="3495"/>
    <x v="253"/>
    <x v="1"/>
    <x v="263"/>
    <x v="1"/>
    <n v="5"/>
    <x v="0"/>
    <s v="No"/>
    <x v="1"/>
    <x v="1"/>
    <n v="0"/>
    <n v="2"/>
    <n v="3"/>
  </r>
  <r>
    <n v="3496"/>
    <x v="254"/>
    <x v="0"/>
    <x v="264"/>
    <x v="0"/>
    <n v="15"/>
    <x v="1"/>
    <s v="Yes"/>
    <x v="0"/>
    <x v="0"/>
    <n v="20"/>
    <n v="5"/>
    <n v="60"/>
  </r>
  <r>
    <n v="3497"/>
    <x v="255"/>
    <x v="2"/>
    <x v="265"/>
    <x v="1"/>
    <n v="10"/>
    <x v="0"/>
    <s v="No"/>
    <x v="1"/>
    <x v="0"/>
    <n v="20"/>
    <n v="10"/>
    <n v="20"/>
  </r>
  <r>
    <n v="3498"/>
    <x v="256"/>
    <x v="1"/>
    <x v="266"/>
    <x v="0"/>
    <n v="5"/>
    <x v="2"/>
    <s v="No"/>
    <x v="1"/>
    <x v="1"/>
    <n v="0"/>
    <n v="0"/>
    <n v="5"/>
  </r>
  <r>
    <n v="3499"/>
    <x v="257"/>
    <x v="0"/>
    <x v="267"/>
    <x v="1"/>
    <n v="15"/>
    <x v="0"/>
    <s v="Yes"/>
    <x v="0"/>
    <x v="0"/>
    <n v="20"/>
    <n v="3"/>
    <n v="62"/>
  </r>
  <r>
    <n v="3500"/>
    <x v="258"/>
    <x v="2"/>
    <x v="268"/>
    <x v="0"/>
    <n v="10"/>
    <x v="1"/>
    <s v="No"/>
    <x v="1"/>
    <x v="0"/>
    <n v="20"/>
    <n v="15"/>
    <n v="15"/>
  </r>
  <r>
    <n v="3501"/>
    <x v="259"/>
    <x v="1"/>
    <x v="269"/>
    <x v="1"/>
    <n v="5"/>
    <x v="0"/>
    <s v="No"/>
    <x v="1"/>
    <x v="1"/>
    <n v="0"/>
    <n v="1"/>
    <n v="4"/>
  </r>
  <r>
    <n v="3502"/>
    <x v="260"/>
    <x v="0"/>
    <x v="270"/>
    <x v="0"/>
    <n v="15"/>
    <x v="2"/>
    <s v="Yes"/>
    <x v="0"/>
    <x v="0"/>
    <n v="20"/>
    <n v="7"/>
    <n v="58"/>
  </r>
  <r>
    <n v="3503"/>
    <x v="119"/>
    <x v="2"/>
    <x v="271"/>
    <x v="1"/>
    <n v="10"/>
    <x v="0"/>
    <s v="No"/>
    <x v="1"/>
    <x v="0"/>
    <n v="20"/>
    <n v="10"/>
    <n v="20"/>
  </r>
  <r>
    <n v="3504"/>
    <x v="261"/>
    <x v="1"/>
    <x v="272"/>
    <x v="0"/>
    <n v="5"/>
    <x v="1"/>
    <s v="No"/>
    <x v="1"/>
    <x v="1"/>
    <n v="0"/>
    <n v="0"/>
    <n v="5"/>
  </r>
  <r>
    <n v="3505"/>
    <x v="262"/>
    <x v="0"/>
    <x v="273"/>
    <x v="1"/>
    <n v="15"/>
    <x v="0"/>
    <s v="Yes"/>
    <x v="0"/>
    <x v="0"/>
    <n v="20"/>
    <n v="20"/>
    <n v="45"/>
  </r>
  <r>
    <n v="3506"/>
    <x v="263"/>
    <x v="2"/>
    <x v="274"/>
    <x v="0"/>
    <n v="10"/>
    <x v="2"/>
    <s v="No"/>
    <x v="1"/>
    <x v="0"/>
    <n v="20"/>
    <n v="15"/>
    <n v="15"/>
  </r>
  <r>
    <n v="3507"/>
    <x v="264"/>
    <x v="1"/>
    <x v="275"/>
    <x v="1"/>
    <n v="5"/>
    <x v="0"/>
    <s v="No"/>
    <x v="1"/>
    <x v="1"/>
    <n v="0"/>
    <n v="1"/>
    <n v="4"/>
  </r>
  <r>
    <n v="3508"/>
    <x v="265"/>
    <x v="0"/>
    <x v="276"/>
    <x v="0"/>
    <n v="15"/>
    <x v="1"/>
    <s v="Yes"/>
    <x v="0"/>
    <x v="0"/>
    <n v="20"/>
    <n v="3"/>
    <n v="62"/>
  </r>
  <r>
    <n v="3509"/>
    <x v="266"/>
    <x v="2"/>
    <x v="277"/>
    <x v="1"/>
    <n v="10"/>
    <x v="0"/>
    <s v="No"/>
    <x v="1"/>
    <x v="0"/>
    <n v="20"/>
    <n v="10"/>
    <n v="20"/>
  </r>
  <r>
    <n v="3510"/>
    <x v="267"/>
    <x v="1"/>
    <x v="278"/>
    <x v="0"/>
    <n v="5"/>
    <x v="2"/>
    <s v="No"/>
    <x v="1"/>
    <x v="1"/>
    <n v="0"/>
    <n v="0"/>
    <n v="5"/>
  </r>
  <r>
    <n v="3511"/>
    <x v="268"/>
    <x v="0"/>
    <x v="279"/>
    <x v="1"/>
    <n v="15"/>
    <x v="0"/>
    <s v="Yes"/>
    <x v="0"/>
    <x v="0"/>
    <n v="20"/>
    <n v="15"/>
    <n v="50"/>
  </r>
  <r>
    <n v="3512"/>
    <x v="269"/>
    <x v="2"/>
    <x v="280"/>
    <x v="0"/>
    <n v="10"/>
    <x v="1"/>
    <s v="No"/>
    <x v="1"/>
    <x v="0"/>
    <n v="20"/>
    <n v="15"/>
    <n v="15"/>
  </r>
  <r>
    <n v="3513"/>
    <x v="270"/>
    <x v="1"/>
    <x v="281"/>
    <x v="1"/>
    <n v="5"/>
    <x v="0"/>
    <s v="No"/>
    <x v="1"/>
    <x v="1"/>
    <n v="0"/>
    <n v="1"/>
    <n v="4"/>
  </r>
  <r>
    <n v="3514"/>
    <x v="271"/>
    <x v="0"/>
    <x v="282"/>
    <x v="0"/>
    <n v="15"/>
    <x v="2"/>
    <s v="Yes"/>
    <x v="0"/>
    <x v="0"/>
    <n v="20"/>
    <n v="7"/>
    <n v="58"/>
  </r>
  <r>
    <n v="3515"/>
    <x v="130"/>
    <x v="2"/>
    <x v="283"/>
    <x v="1"/>
    <n v="10"/>
    <x v="0"/>
    <s v="No"/>
    <x v="1"/>
    <x v="0"/>
    <n v="20"/>
    <n v="10"/>
    <n v="20"/>
  </r>
  <r>
    <n v="3516"/>
    <x v="131"/>
    <x v="1"/>
    <x v="284"/>
    <x v="0"/>
    <n v="5"/>
    <x v="1"/>
    <s v="No"/>
    <x v="1"/>
    <x v="1"/>
    <n v="0"/>
    <n v="0"/>
    <n v="5"/>
  </r>
  <r>
    <n v="3517"/>
    <x v="181"/>
    <x v="0"/>
    <x v="285"/>
    <x v="1"/>
    <n v="15"/>
    <x v="0"/>
    <s v="Yes"/>
    <x v="0"/>
    <x v="0"/>
    <n v="20"/>
    <n v="20"/>
    <n v="45"/>
  </r>
  <r>
    <n v="3518"/>
    <x v="272"/>
    <x v="2"/>
    <x v="286"/>
    <x v="0"/>
    <n v="10"/>
    <x v="2"/>
    <s v="No"/>
    <x v="1"/>
    <x v="0"/>
    <n v="20"/>
    <n v="12"/>
    <n v="18"/>
  </r>
  <r>
    <n v="3519"/>
    <x v="273"/>
    <x v="1"/>
    <x v="287"/>
    <x v="1"/>
    <n v="5"/>
    <x v="0"/>
    <s v="No"/>
    <x v="1"/>
    <x v="1"/>
    <n v="0"/>
    <n v="2"/>
    <n v="3"/>
  </r>
  <r>
    <n v="3520"/>
    <x v="274"/>
    <x v="0"/>
    <x v="288"/>
    <x v="0"/>
    <n v="15"/>
    <x v="1"/>
    <s v="Yes"/>
    <x v="0"/>
    <x v="0"/>
    <n v="20"/>
    <n v="5"/>
    <n v="60"/>
  </r>
  <r>
    <n v="3521"/>
    <x v="275"/>
    <x v="2"/>
    <x v="289"/>
    <x v="1"/>
    <n v="10"/>
    <x v="0"/>
    <s v="No"/>
    <x v="1"/>
    <x v="0"/>
    <n v="20"/>
    <n v="10"/>
    <n v="20"/>
  </r>
  <r>
    <n v="3522"/>
    <x v="276"/>
    <x v="1"/>
    <x v="290"/>
    <x v="0"/>
    <n v="5"/>
    <x v="2"/>
    <s v="No"/>
    <x v="1"/>
    <x v="1"/>
    <n v="0"/>
    <n v="0"/>
    <n v="5"/>
  </r>
  <r>
    <n v="3523"/>
    <x v="277"/>
    <x v="0"/>
    <x v="291"/>
    <x v="1"/>
    <n v="15"/>
    <x v="0"/>
    <s v="Yes"/>
    <x v="0"/>
    <x v="0"/>
    <n v="20"/>
    <n v="3"/>
    <n v="62"/>
  </r>
  <r>
    <n v="3524"/>
    <x v="278"/>
    <x v="2"/>
    <x v="292"/>
    <x v="0"/>
    <n v="10"/>
    <x v="1"/>
    <s v="No"/>
    <x v="1"/>
    <x v="0"/>
    <n v="20"/>
    <n v="15"/>
    <n v="15"/>
  </r>
  <r>
    <n v="3525"/>
    <x v="279"/>
    <x v="1"/>
    <x v="293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0">
  <location ref="B70:C351" firstHeaderRow="1" firstDataRow="1" firstDataCol="1"/>
  <pivotFields count="13">
    <pivotField showAll="0"/>
    <pivotField axis="axisRow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1"/>
  </rowFields>
  <rowItems count="2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 t="grand">
      <x/>
    </i>
  </rowItems>
  <colItems count="1">
    <i/>
  </colItems>
  <dataFields count="1">
    <dataField name="Soma de Total Value" fld="12" baseField="0" baseItem="0"/>
  </dataFields>
  <formats count="2">
    <format dxfId="10">
      <pivotArea outline="0" collapsedLevelsAreSubtotals="1" fieldPosition="0"/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0">
  <location ref="B30:C3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ption Type" fld="6" subtotal="count" baseField="6" baseItem="0" numFmtId="2"/>
  </dataFields>
  <formats count="3">
    <format dxfId="13">
      <pivotArea outline="0" collapsedLevelsAreSubtotals="1" fieldPosition="0"/>
    </format>
    <format dxfId="12">
      <pivotArea collapsedLevelsAreSubtotals="1" fieldPosition="0">
        <references count="1">
          <reference field="6" count="0"/>
        </references>
      </pivotArea>
    </format>
    <format dxfId="11">
      <pivotArea grandRow="1"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ual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8">
  <location ref="B14:C27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/>
  </dataFields>
  <formats count="1">
    <format dxfId="14">
      <pivotArea outline="0" collapsedLevelsAreSubtotals="1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bl_easeasonspass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3">
  <location ref="B47:C5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3">
    <format dxfId="17">
      <pivotArea outline="0" collapsedLevelsAreSubtotals="1" fieldPosition="0"/>
    </format>
    <format dxfId="16">
      <pivotArea collapsedLevelsAreSubtotals="1" fieldPosition="0">
        <references count="1">
          <reference field="6" count="0"/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3">
  <location ref="B39:C4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3">
    <format dxfId="20">
      <pivotArea outline="0" collapsedLevelsAreSubtotals="1" fieldPosition="0"/>
    </format>
    <format dxfId="19">
      <pivotArea collapsedLevelsAreSubtotals="1" fieldPosition="0">
        <references count="1">
          <reference field="6" count="0"/>
        </references>
      </pivotArea>
    </format>
    <format dxfId="18">
      <pivotArea grandRow="1" outline="0" collapsedLevelsAreSubtotals="1" fieldPosition="0"/>
    </format>
  </format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bl_MinecraftSeasonPass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3">
  <location ref="B57:C6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23">
      <pivotArea outline="0" collapsedLevelsAreSubtotals="1" fieldPosition="0"/>
    </format>
    <format dxfId="22">
      <pivotArea collapsedLevelsAreSubtotals="1" fieldPosition="0">
        <references count="1">
          <reference field="6" count="0"/>
        </references>
      </pivotArea>
    </format>
    <format dxfId="2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2"/>
    <pivotTable tabId="3" name="tbl_easeasonspass_total"/>
    <pivotTable tabId="3" name="tbl_MinecraftSeasonPass_Total"/>
  </pivotTables>
  <data>
    <tabular pivotCacheId="1">
      <items count="3">
        <i x="1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37">
  <autoFilter ref="A1:M296"/>
  <tableColumns count="13">
    <tableColumn id="1" name="Subscriber ID" dataDxfId="36"/>
    <tableColumn id="2" name="Name" dataDxfId="35"/>
    <tableColumn id="3" name="Plan" dataDxfId="34"/>
    <tableColumn id="4" name="Start Date" dataDxfId="33"/>
    <tableColumn id="5" name="Auto Renewal" dataDxfId="32"/>
    <tableColumn id="6" name="Subscription Price" dataDxfId="31" dataCellStyle="Moeda"/>
    <tableColumn id="7" name="Subscription Type" dataDxfId="30"/>
    <tableColumn id="8" name="EA Play Season Pass" dataDxfId="29"/>
    <tableColumn id="13" name="EA Play Season Pass_x000a_Price" dataDxfId="28" dataCellStyle="Moeda"/>
    <tableColumn id="9" name="Minecraft Season Pass" dataDxfId="27"/>
    <tableColumn id="10" name="Minecraft Season Pass Price" dataDxfId="26" dataCellStyle="Moeda"/>
    <tableColumn id="11" name="Coupon Value" dataDxfId="25" dataCellStyle="Moeda"/>
    <tableColumn id="12" name="Total Value" dataDxfId="2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C1" zoomScale="90" zoomScaleNormal="90" workbookViewId="0">
      <selection activeCell="I15" sqref="I1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8.875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H353"/>
  <sheetViews>
    <sheetView showGridLines="0" workbookViewId="0">
      <selection activeCell="D10" sqref="D10"/>
    </sheetView>
  </sheetViews>
  <sheetFormatPr defaultRowHeight="14.25"/>
  <cols>
    <col min="2" max="2" width="18" customWidth="1"/>
    <col min="3" max="3" width="35.125" customWidth="1"/>
    <col min="4" max="4" width="9.5" customWidth="1"/>
    <col min="5" max="5" width="15.875" bestFit="1" customWidth="1"/>
    <col min="6" max="6" width="12" bestFit="1" customWidth="1"/>
    <col min="7" max="7" width="18" customWidth="1"/>
    <col min="8" max="8" width="19.12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6">
      <c r="B2" t="s">
        <v>320</v>
      </c>
    </row>
    <row r="3" spans="2:6">
      <c r="B3" t="s">
        <v>322</v>
      </c>
    </row>
    <row r="4" spans="2:6">
      <c r="B4" t="s">
        <v>321</v>
      </c>
    </row>
    <row r="5" spans="2:6">
      <c r="B5" t="s">
        <v>323</v>
      </c>
    </row>
    <row r="6" spans="2:6">
      <c r="B6" t="s">
        <v>324</v>
      </c>
    </row>
    <row r="7" spans="2:6">
      <c r="B7" t="s">
        <v>325</v>
      </c>
    </row>
    <row r="8" spans="2:6">
      <c r="B8" t="s">
        <v>326</v>
      </c>
    </row>
    <row r="9" spans="2:6">
      <c r="B9" t="s">
        <v>346</v>
      </c>
    </row>
    <row r="14" spans="2:6">
      <c r="B14" s="12" t="s">
        <v>313</v>
      </c>
      <c r="C14" t="s">
        <v>315</v>
      </c>
      <c r="E14" t="s">
        <v>316</v>
      </c>
      <c r="F14" s="14">
        <f>GETPIVOTDATA("Total Value",$B$14)</f>
        <v>7633</v>
      </c>
    </row>
    <row r="15" spans="2:6">
      <c r="B15" s="16" t="s">
        <v>327</v>
      </c>
      <c r="C15" s="13">
        <v>65</v>
      </c>
      <c r="E15" t="s">
        <v>317</v>
      </c>
      <c r="F15">
        <f>COUNTA(Tabela1[Name])</f>
        <v>295</v>
      </c>
    </row>
    <row r="16" spans="2:6">
      <c r="B16" s="16" t="s">
        <v>328</v>
      </c>
      <c r="C16" s="13">
        <v>82</v>
      </c>
      <c r="E16" t="s">
        <v>318</v>
      </c>
      <c r="F16" s="13">
        <f>AVERAGE(Tabela1[Total Value])</f>
        <v>25.874576271186442</v>
      </c>
    </row>
    <row r="17" spans="2:6">
      <c r="B17" s="16" t="s">
        <v>329</v>
      </c>
      <c r="C17" s="13">
        <v>801</v>
      </c>
      <c r="E17" t="s">
        <v>319</v>
      </c>
      <c r="F17" s="15">
        <f>COUNTIF(Tabela1[Auto Renewal], "Yes")/COUNTA((Tabela1[Auto Renewal]))</f>
        <v>0.50169491525423726</v>
      </c>
    </row>
    <row r="18" spans="2:6">
      <c r="B18" s="16" t="s">
        <v>330</v>
      </c>
      <c r="C18" s="13">
        <v>782</v>
      </c>
    </row>
    <row r="19" spans="2:6">
      <c r="B19" s="16" t="s">
        <v>331</v>
      </c>
      <c r="C19" s="13">
        <v>777</v>
      </c>
    </row>
    <row r="20" spans="2:6">
      <c r="B20" s="16" t="s">
        <v>332</v>
      </c>
      <c r="C20" s="13">
        <v>770</v>
      </c>
    </row>
    <row r="21" spans="2:6">
      <c r="B21" s="16" t="s">
        <v>333</v>
      </c>
      <c r="C21" s="13">
        <v>784</v>
      </c>
    </row>
    <row r="22" spans="2:6">
      <c r="B22" s="16" t="s">
        <v>334</v>
      </c>
      <c r="C22" s="13">
        <v>787</v>
      </c>
    </row>
    <row r="23" spans="2:6">
      <c r="B23" s="16" t="s">
        <v>335</v>
      </c>
      <c r="C23" s="13">
        <v>780</v>
      </c>
    </row>
    <row r="24" spans="2:6">
      <c r="B24" s="16" t="s">
        <v>336</v>
      </c>
      <c r="C24" s="13">
        <v>832</v>
      </c>
    </row>
    <row r="25" spans="2:6">
      <c r="B25" s="16" t="s">
        <v>337</v>
      </c>
      <c r="C25" s="13">
        <v>784</v>
      </c>
    </row>
    <row r="26" spans="2:6">
      <c r="B26" s="16" t="s">
        <v>338</v>
      </c>
      <c r="C26" s="13">
        <v>389</v>
      </c>
    </row>
    <row r="27" spans="2:6">
      <c r="B27" s="16" t="s">
        <v>314</v>
      </c>
      <c r="C27" s="13">
        <v>7633</v>
      </c>
    </row>
    <row r="30" spans="2:6">
      <c r="B30" s="12" t="s">
        <v>313</v>
      </c>
      <c r="C30" t="s">
        <v>340</v>
      </c>
    </row>
    <row r="31" spans="2:6">
      <c r="B31" s="18" t="s">
        <v>24</v>
      </c>
      <c r="C31" s="20">
        <v>71</v>
      </c>
    </row>
    <row r="32" spans="2:6">
      <c r="B32" s="18" t="s">
        <v>20</v>
      </c>
      <c r="C32" s="20">
        <v>139</v>
      </c>
    </row>
    <row r="33" spans="2:3">
      <c r="B33" s="18" t="s">
        <v>27</v>
      </c>
      <c r="C33" s="20">
        <v>85</v>
      </c>
    </row>
    <row r="34" spans="2:3">
      <c r="B34" s="18" t="s">
        <v>314</v>
      </c>
      <c r="C34" s="20">
        <v>295</v>
      </c>
    </row>
    <row r="35" spans="2:3">
      <c r="B35" s="18"/>
      <c r="C35" s="19"/>
    </row>
    <row r="37" spans="2:3">
      <c r="B37" s="12" t="s">
        <v>16</v>
      </c>
      <c r="C37" t="s">
        <v>347</v>
      </c>
    </row>
    <row r="39" spans="2:3">
      <c r="B39" s="12" t="s">
        <v>313</v>
      </c>
      <c r="C39" t="s">
        <v>315</v>
      </c>
    </row>
    <row r="40" spans="2:3">
      <c r="B40" s="18" t="s">
        <v>23</v>
      </c>
      <c r="C40" s="13">
        <v>3041</v>
      </c>
    </row>
    <row r="41" spans="2:3">
      <c r="B41" s="18" t="s">
        <v>19</v>
      </c>
      <c r="C41" s="13">
        <v>2284</v>
      </c>
    </row>
    <row r="42" spans="2:3">
      <c r="B42" s="18" t="s">
        <v>314</v>
      </c>
      <c r="C42" s="13">
        <v>5325</v>
      </c>
    </row>
    <row r="45" spans="2:3">
      <c r="B45" s="12" t="s">
        <v>16</v>
      </c>
      <c r="C45" t="s">
        <v>347</v>
      </c>
    </row>
    <row r="47" spans="2:3">
      <c r="B47" s="12" t="s">
        <v>313</v>
      </c>
      <c r="C47" t="s">
        <v>341</v>
      </c>
    </row>
    <row r="48" spans="2:3">
      <c r="B48" s="18" t="s">
        <v>22</v>
      </c>
      <c r="C48" s="13">
        <v>0</v>
      </c>
    </row>
    <row r="49" spans="2:5">
      <c r="B49" s="18" t="s">
        <v>26</v>
      </c>
      <c r="C49" s="13">
        <v>0</v>
      </c>
    </row>
    <row r="50" spans="2:5">
      <c r="B50" s="18" t="s">
        <v>18</v>
      </c>
      <c r="C50" s="13">
        <v>1950</v>
      </c>
    </row>
    <row r="51" spans="2:5">
      <c r="B51" s="18" t="s">
        <v>314</v>
      </c>
      <c r="C51" s="13">
        <v>1950</v>
      </c>
      <c r="E51" s="14">
        <f>GETPIVOTDATA("EA Play Season Pass
Price",$B$47)</f>
        <v>1950</v>
      </c>
    </row>
    <row r="55" spans="2:5">
      <c r="B55" s="12" t="s">
        <v>16</v>
      </c>
      <c r="C55" t="s">
        <v>347</v>
      </c>
    </row>
    <row r="57" spans="2:5">
      <c r="B57" s="12" t="s">
        <v>313</v>
      </c>
      <c r="C57" t="s">
        <v>342</v>
      </c>
    </row>
    <row r="58" spans="2:5">
      <c r="B58" s="18" t="s">
        <v>22</v>
      </c>
      <c r="C58" s="13">
        <v>0</v>
      </c>
    </row>
    <row r="59" spans="2:5">
      <c r="B59" s="18" t="s">
        <v>26</v>
      </c>
      <c r="C59" s="13">
        <v>1440</v>
      </c>
    </row>
    <row r="60" spans="2:5">
      <c r="B60" s="18" t="s">
        <v>18</v>
      </c>
      <c r="C60" s="13">
        <v>1300</v>
      </c>
    </row>
    <row r="61" spans="2:5">
      <c r="B61" s="18" t="s">
        <v>314</v>
      </c>
      <c r="C61" s="13">
        <v>2740</v>
      </c>
      <c r="E61" s="14">
        <f>GETPIVOTDATA("Minecraft Season Pass Price",$B$57)</f>
        <v>2740</v>
      </c>
    </row>
    <row r="65" spans="2:8">
      <c r="B65" s="21" t="s">
        <v>343</v>
      </c>
      <c r="C65" s="23">
        <f>COUNTIF(Tabela1[EA Play Season Pass],"Yes")</f>
        <v>98</v>
      </c>
      <c r="D65" s="24">
        <f>C65/GETPIVOTDATA("Subscription Type",$B$30)</f>
        <v>0.33220338983050846</v>
      </c>
    </row>
    <row r="66" spans="2:8">
      <c r="B66" s="23" t="s">
        <v>344</v>
      </c>
      <c r="C66" s="22">
        <f>COUNTIF(Tabela1[Minecraft Season Pass],"Yes")</f>
        <v>194</v>
      </c>
      <c r="D66" s="24">
        <f>C66/GETPIVOTDATA("Subscription Type",$B$30)</f>
        <v>0.65762711864406775</v>
      </c>
    </row>
    <row r="67" spans="2:8">
      <c r="B67" s="23" t="s">
        <v>345</v>
      </c>
      <c r="C67" s="23">
        <f>COUNTIFS(Tabela1[Minecraft Season Pass],"No",Tabela1[EA Play Season Pass],"No")</f>
        <v>101</v>
      </c>
      <c r="D67" s="24">
        <f>C67/GETPIVOTDATA("Subscription Type",$B$30)</f>
        <v>0.34237288135593219</v>
      </c>
    </row>
    <row r="70" spans="2:8">
      <c r="B70" s="12" t="s">
        <v>313</v>
      </c>
      <c r="C70" t="s">
        <v>315</v>
      </c>
    </row>
    <row r="71" spans="2:8">
      <c r="B71" s="18" t="s">
        <v>116</v>
      </c>
      <c r="C71" s="19">
        <v>62</v>
      </c>
      <c r="E71" s="14">
        <f>AVERAGE(LARGE(C71:C350, {1;2;3;4;5;6;7;8;9;10}))</f>
        <v>79.7</v>
      </c>
    </row>
    <row r="72" spans="2:8">
      <c r="B72" s="18" t="s">
        <v>90</v>
      </c>
      <c r="C72" s="19">
        <v>15</v>
      </c>
    </row>
    <row r="73" spans="2:8">
      <c r="B73" s="18" t="s">
        <v>235</v>
      </c>
      <c r="C73" s="19">
        <v>45</v>
      </c>
      <c r="G73" s="18"/>
      <c r="H73" s="19"/>
    </row>
    <row r="74" spans="2:8">
      <c r="B74" s="18" t="s">
        <v>304</v>
      </c>
      <c r="C74" s="19">
        <v>20</v>
      </c>
      <c r="G74" s="18"/>
      <c r="H74" s="19"/>
    </row>
    <row r="75" spans="2:8">
      <c r="B75" s="18" t="s">
        <v>141</v>
      </c>
      <c r="C75" s="19">
        <v>45</v>
      </c>
      <c r="G75" s="18"/>
      <c r="H75" s="19"/>
    </row>
    <row r="76" spans="2:8">
      <c r="B76" s="18" t="s">
        <v>257</v>
      </c>
      <c r="C76" s="19">
        <v>3</v>
      </c>
      <c r="G76" s="18"/>
      <c r="H76" s="19"/>
    </row>
    <row r="77" spans="2:8">
      <c r="B77" s="18" t="s">
        <v>64</v>
      </c>
      <c r="C77" s="19">
        <v>5</v>
      </c>
      <c r="G77" s="18"/>
      <c r="H77" s="19"/>
    </row>
    <row r="78" spans="2:8">
      <c r="B78" s="18" t="s">
        <v>282</v>
      </c>
      <c r="C78" s="19">
        <v>3</v>
      </c>
      <c r="G78" s="18"/>
      <c r="H78" s="19"/>
    </row>
    <row r="79" spans="2:8">
      <c r="B79" s="18" t="s">
        <v>165</v>
      </c>
      <c r="C79" s="19">
        <v>20</v>
      </c>
      <c r="G79" s="18"/>
      <c r="H79" s="19"/>
    </row>
    <row r="80" spans="2:8">
      <c r="B80" s="18" t="s">
        <v>28</v>
      </c>
      <c r="C80" s="19">
        <v>62</v>
      </c>
      <c r="G80" s="18"/>
      <c r="H80" s="19"/>
    </row>
    <row r="81" spans="2:8">
      <c r="B81" s="18" t="s">
        <v>190</v>
      </c>
      <c r="C81" s="19">
        <v>58</v>
      </c>
      <c r="G81" s="18"/>
      <c r="H81" s="19"/>
    </row>
    <row r="82" spans="2:8">
      <c r="B82" s="18" t="s">
        <v>214</v>
      </c>
      <c r="C82" s="19">
        <v>62</v>
      </c>
      <c r="G82" s="18"/>
      <c r="H82" s="19"/>
    </row>
    <row r="83" spans="2:8">
      <c r="B83" s="18" t="s">
        <v>36</v>
      </c>
      <c r="C83" s="19">
        <v>5</v>
      </c>
      <c r="G83" s="18"/>
      <c r="H83" s="19"/>
    </row>
    <row r="84" spans="2:8">
      <c r="B84" s="18" t="s">
        <v>117</v>
      </c>
      <c r="C84" s="19">
        <v>20</v>
      </c>
      <c r="G84" s="18"/>
      <c r="H84" s="19"/>
    </row>
    <row r="85" spans="2:8">
      <c r="B85" s="18" t="s">
        <v>45</v>
      </c>
      <c r="C85" s="19">
        <v>3</v>
      </c>
      <c r="G85" s="18"/>
      <c r="H85" s="19"/>
    </row>
    <row r="86" spans="2:8">
      <c r="B86" s="18" t="s">
        <v>215</v>
      </c>
      <c r="C86" s="19">
        <v>15</v>
      </c>
      <c r="G86" s="18"/>
      <c r="H86" s="19"/>
    </row>
    <row r="87" spans="2:8">
      <c r="B87" s="18" t="s">
        <v>191</v>
      </c>
      <c r="C87" s="19">
        <v>20</v>
      </c>
      <c r="G87" s="18"/>
      <c r="H87" s="19"/>
    </row>
    <row r="88" spans="2:8">
      <c r="B88" s="18" t="s">
        <v>305</v>
      </c>
      <c r="C88" s="19">
        <v>5</v>
      </c>
      <c r="G88" s="18"/>
      <c r="H88" s="19"/>
    </row>
    <row r="89" spans="2:8">
      <c r="B89" s="18" t="s">
        <v>65</v>
      </c>
      <c r="C89" s="19">
        <v>58</v>
      </c>
      <c r="G89" s="18"/>
      <c r="H89" s="19"/>
    </row>
    <row r="90" spans="2:8">
      <c r="B90" s="18" t="s">
        <v>283</v>
      </c>
      <c r="C90" s="19">
        <v>60</v>
      </c>
      <c r="G90" s="18"/>
      <c r="H90" s="19"/>
    </row>
    <row r="91" spans="2:8">
      <c r="B91" s="18" t="s">
        <v>236</v>
      </c>
      <c r="C91" s="19">
        <v>18</v>
      </c>
      <c r="G91" s="18"/>
      <c r="H91" s="19"/>
    </row>
    <row r="92" spans="2:8">
      <c r="B92" s="18" t="s">
        <v>166</v>
      </c>
      <c r="C92" s="19">
        <v>4</v>
      </c>
      <c r="G92" s="18"/>
      <c r="H92" s="19"/>
    </row>
    <row r="93" spans="2:8">
      <c r="B93" s="18" t="s">
        <v>91</v>
      </c>
      <c r="C93" s="19">
        <v>4</v>
      </c>
      <c r="G93" s="18"/>
      <c r="H93" s="19"/>
    </row>
    <row r="94" spans="2:8">
      <c r="B94" s="18" t="s">
        <v>38</v>
      </c>
      <c r="C94" s="19">
        <v>15</v>
      </c>
      <c r="G94" s="18"/>
      <c r="H94" s="19"/>
    </row>
    <row r="95" spans="2:8">
      <c r="B95" s="18" t="s">
        <v>142</v>
      </c>
      <c r="C95" s="19">
        <v>18</v>
      </c>
      <c r="G95" s="18"/>
      <c r="H95" s="19"/>
    </row>
    <row r="96" spans="2:8">
      <c r="B96" s="18" t="s">
        <v>258</v>
      </c>
      <c r="C96" s="19">
        <v>60</v>
      </c>
      <c r="G96" s="18"/>
      <c r="H96" s="19"/>
    </row>
    <row r="97" spans="2:8">
      <c r="B97" s="18" t="s">
        <v>192</v>
      </c>
      <c r="C97" s="19">
        <v>5</v>
      </c>
      <c r="G97" s="18"/>
      <c r="H97" s="19"/>
    </row>
    <row r="98" spans="2:8">
      <c r="B98" s="18" t="s">
        <v>44</v>
      </c>
      <c r="C98" s="19">
        <v>22</v>
      </c>
      <c r="G98" s="18"/>
      <c r="H98" s="19"/>
    </row>
    <row r="99" spans="2:8">
      <c r="B99" s="18" t="s">
        <v>35</v>
      </c>
      <c r="C99" s="19">
        <v>55</v>
      </c>
      <c r="G99" s="18"/>
      <c r="H99" s="19"/>
    </row>
    <row r="100" spans="2:8">
      <c r="B100" s="18" t="s">
        <v>92</v>
      </c>
      <c r="C100" s="19">
        <v>45</v>
      </c>
      <c r="G100" s="18"/>
      <c r="H100" s="19"/>
    </row>
    <row r="101" spans="2:8">
      <c r="B101" s="18" t="s">
        <v>66</v>
      </c>
      <c r="C101" s="19">
        <v>23</v>
      </c>
      <c r="G101" s="18"/>
      <c r="H101" s="19"/>
    </row>
    <row r="102" spans="2:8">
      <c r="B102" s="18" t="s">
        <v>259</v>
      </c>
      <c r="C102" s="19">
        <v>20</v>
      </c>
      <c r="G102" s="18"/>
      <c r="H102" s="19"/>
    </row>
    <row r="103" spans="2:8">
      <c r="B103" s="18" t="s">
        <v>284</v>
      </c>
      <c r="C103" s="19">
        <v>20</v>
      </c>
      <c r="G103" s="18"/>
      <c r="H103" s="19"/>
    </row>
    <row r="104" spans="2:8">
      <c r="B104" s="18" t="s">
        <v>306</v>
      </c>
      <c r="C104" s="19">
        <v>62</v>
      </c>
      <c r="G104" s="18"/>
      <c r="H104" s="19"/>
    </row>
    <row r="105" spans="2:8">
      <c r="B105" s="18" t="s">
        <v>167</v>
      </c>
      <c r="C105" s="19">
        <v>50</v>
      </c>
      <c r="G105" s="18"/>
      <c r="H105" s="19"/>
    </row>
    <row r="106" spans="2:8">
      <c r="B106" s="18" t="s">
        <v>118</v>
      </c>
      <c r="C106" s="19">
        <v>5</v>
      </c>
      <c r="G106" s="18"/>
      <c r="H106" s="19"/>
    </row>
    <row r="107" spans="2:8">
      <c r="B107" s="18" t="s">
        <v>143</v>
      </c>
      <c r="C107" s="19">
        <v>3</v>
      </c>
      <c r="G107" s="18"/>
      <c r="H107" s="19"/>
    </row>
    <row r="108" spans="2:8">
      <c r="B108" s="18" t="s">
        <v>46</v>
      </c>
      <c r="C108" s="19">
        <v>58</v>
      </c>
      <c r="G108" s="18"/>
      <c r="H108" s="19"/>
    </row>
    <row r="109" spans="2:8">
      <c r="B109" s="18" t="s">
        <v>216</v>
      </c>
      <c r="C109" s="19">
        <v>58</v>
      </c>
      <c r="G109" s="18"/>
      <c r="H109" s="19"/>
    </row>
    <row r="110" spans="2:8">
      <c r="B110" s="18" t="s">
        <v>119</v>
      </c>
      <c r="C110" s="19">
        <v>105</v>
      </c>
      <c r="G110" s="18"/>
      <c r="H110" s="19"/>
    </row>
    <row r="111" spans="2:8">
      <c r="B111" s="18" t="s">
        <v>168</v>
      </c>
      <c r="C111" s="19">
        <v>25</v>
      </c>
      <c r="G111" s="18"/>
      <c r="H111" s="19"/>
    </row>
    <row r="112" spans="2:8">
      <c r="B112" s="18" t="s">
        <v>47</v>
      </c>
      <c r="C112" s="19">
        <v>25</v>
      </c>
      <c r="G112" s="18"/>
      <c r="H112" s="19"/>
    </row>
    <row r="113" spans="2:8">
      <c r="B113" s="18" t="s">
        <v>67</v>
      </c>
      <c r="C113" s="19">
        <v>4</v>
      </c>
      <c r="G113" s="18"/>
      <c r="H113" s="19"/>
    </row>
    <row r="114" spans="2:8">
      <c r="B114" s="18" t="s">
        <v>93</v>
      </c>
      <c r="C114" s="19">
        <v>25</v>
      </c>
      <c r="G114" s="18"/>
      <c r="H114" s="19"/>
    </row>
    <row r="115" spans="2:8">
      <c r="B115" s="18" t="s">
        <v>260</v>
      </c>
      <c r="C115" s="19">
        <v>5</v>
      </c>
      <c r="G115" s="18"/>
      <c r="H115" s="19"/>
    </row>
    <row r="116" spans="2:8">
      <c r="B116" s="18" t="s">
        <v>237</v>
      </c>
      <c r="C116" s="19">
        <v>60</v>
      </c>
      <c r="G116" s="18"/>
      <c r="H116" s="19"/>
    </row>
    <row r="117" spans="2:8">
      <c r="B117" s="18" t="s">
        <v>285</v>
      </c>
      <c r="C117" s="19">
        <v>5</v>
      </c>
      <c r="G117" s="18"/>
      <c r="H117" s="19"/>
    </row>
    <row r="118" spans="2:8">
      <c r="B118" s="18" t="s">
        <v>307</v>
      </c>
      <c r="C118" s="19">
        <v>15</v>
      </c>
      <c r="G118" s="18"/>
      <c r="H118" s="19"/>
    </row>
    <row r="119" spans="2:8">
      <c r="B119" s="18" t="s">
        <v>42</v>
      </c>
      <c r="C119" s="19">
        <v>5</v>
      </c>
      <c r="G119" s="18"/>
      <c r="H119" s="19"/>
    </row>
    <row r="120" spans="2:8">
      <c r="B120" s="18" t="s">
        <v>144</v>
      </c>
      <c r="C120" s="19">
        <v>60</v>
      </c>
      <c r="G120" s="18"/>
      <c r="H120" s="19"/>
    </row>
    <row r="121" spans="2:8">
      <c r="B121" s="18" t="s">
        <v>193</v>
      </c>
      <c r="C121" s="19">
        <v>15</v>
      </c>
      <c r="G121" s="18"/>
      <c r="H121" s="19"/>
    </row>
    <row r="122" spans="2:8">
      <c r="B122" s="18" t="s">
        <v>120</v>
      </c>
      <c r="C122" s="19">
        <v>15</v>
      </c>
      <c r="G122" s="18"/>
      <c r="H122" s="19"/>
    </row>
    <row r="123" spans="2:8">
      <c r="B123" s="18" t="s">
        <v>217</v>
      </c>
      <c r="C123" s="19">
        <v>20</v>
      </c>
      <c r="G123" s="18"/>
      <c r="H123" s="19"/>
    </row>
    <row r="124" spans="2:8">
      <c r="B124" s="18" t="s">
        <v>48</v>
      </c>
      <c r="C124" s="19">
        <v>5</v>
      </c>
      <c r="G124" s="18"/>
      <c r="H124" s="19"/>
    </row>
    <row r="125" spans="2:8">
      <c r="B125" s="18" t="s">
        <v>238</v>
      </c>
      <c r="C125" s="19">
        <v>20</v>
      </c>
      <c r="G125" s="18"/>
      <c r="H125" s="19"/>
    </row>
    <row r="126" spans="2:8">
      <c r="B126" s="18" t="s">
        <v>145</v>
      </c>
      <c r="C126" s="19">
        <v>20</v>
      </c>
      <c r="G126" s="18"/>
      <c r="H126" s="19"/>
    </row>
    <row r="127" spans="2:8">
      <c r="B127" s="18" t="s">
        <v>286</v>
      </c>
      <c r="C127" s="19">
        <v>62</v>
      </c>
      <c r="G127" s="18"/>
      <c r="H127" s="19"/>
    </row>
    <row r="128" spans="2:8">
      <c r="B128" s="18" t="s">
        <v>308</v>
      </c>
      <c r="C128" s="19">
        <v>4</v>
      </c>
      <c r="G128" s="18"/>
      <c r="H128" s="19"/>
    </row>
    <row r="129" spans="2:8">
      <c r="B129" s="18" t="s">
        <v>169</v>
      </c>
      <c r="C129" s="19">
        <v>67</v>
      </c>
      <c r="G129" s="18"/>
      <c r="H129" s="19"/>
    </row>
    <row r="130" spans="2:8">
      <c r="B130" s="18" t="s">
        <v>94</v>
      </c>
      <c r="C130" s="19">
        <v>5</v>
      </c>
      <c r="G130" s="18"/>
      <c r="H130" s="19"/>
    </row>
    <row r="131" spans="2:8">
      <c r="B131" s="18" t="s">
        <v>68</v>
      </c>
      <c r="C131" s="19">
        <v>50</v>
      </c>
      <c r="G131" s="18"/>
      <c r="H131" s="19"/>
    </row>
    <row r="132" spans="2:8">
      <c r="B132" s="18" t="s">
        <v>121</v>
      </c>
      <c r="C132" s="19">
        <v>4</v>
      </c>
      <c r="G132" s="18"/>
      <c r="H132" s="19"/>
    </row>
    <row r="133" spans="2:8">
      <c r="B133" s="18" t="s">
        <v>239</v>
      </c>
      <c r="C133" s="19">
        <v>5</v>
      </c>
      <c r="G133" s="18"/>
      <c r="H133" s="19"/>
    </row>
    <row r="134" spans="2:8">
      <c r="B134" s="18" t="s">
        <v>170</v>
      </c>
      <c r="C134" s="19">
        <v>45</v>
      </c>
      <c r="G134" s="18"/>
      <c r="H134" s="19"/>
    </row>
    <row r="135" spans="2:8">
      <c r="B135" s="18" t="s">
        <v>261</v>
      </c>
      <c r="C135" s="19">
        <v>15</v>
      </c>
      <c r="G135" s="18"/>
      <c r="H135" s="19"/>
    </row>
    <row r="136" spans="2:8">
      <c r="B136" s="18" t="s">
        <v>287</v>
      </c>
      <c r="C136" s="19">
        <v>15</v>
      </c>
      <c r="G136" s="18"/>
      <c r="H136" s="19"/>
    </row>
    <row r="137" spans="2:8">
      <c r="B137" s="18" t="s">
        <v>69</v>
      </c>
      <c r="C137" s="19">
        <v>25</v>
      </c>
      <c r="G137" s="18"/>
      <c r="H137" s="19"/>
    </row>
    <row r="138" spans="2:8">
      <c r="B138" s="18" t="s">
        <v>95</v>
      </c>
      <c r="C138" s="19">
        <v>58</v>
      </c>
      <c r="G138" s="18"/>
      <c r="H138" s="19"/>
    </row>
    <row r="139" spans="2:8">
      <c r="B139" s="18" t="s">
        <v>146</v>
      </c>
      <c r="C139" s="19">
        <v>5</v>
      </c>
      <c r="G139" s="18"/>
      <c r="H139" s="19"/>
    </row>
    <row r="140" spans="2:8">
      <c r="B140" s="18" t="s">
        <v>34</v>
      </c>
      <c r="C140" s="19">
        <v>28</v>
      </c>
      <c r="G140" s="18"/>
      <c r="H140" s="19"/>
    </row>
    <row r="141" spans="2:8">
      <c r="B141" s="18" t="s">
        <v>194</v>
      </c>
      <c r="C141" s="19">
        <v>4</v>
      </c>
      <c r="G141" s="18"/>
      <c r="H141" s="19"/>
    </row>
    <row r="142" spans="2:8">
      <c r="B142" s="18" t="s">
        <v>43</v>
      </c>
      <c r="C142" s="19">
        <v>62</v>
      </c>
      <c r="G142" s="18"/>
      <c r="H142" s="19"/>
    </row>
    <row r="143" spans="2:8">
      <c r="B143" s="18" t="s">
        <v>96</v>
      </c>
      <c r="C143" s="19">
        <v>20</v>
      </c>
      <c r="G143" s="18"/>
      <c r="H143" s="19"/>
    </row>
    <row r="144" spans="2:8">
      <c r="B144" s="18" t="s">
        <v>240</v>
      </c>
      <c r="C144" s="19">
        <v>62</v>
      </c>
      <c r="G144" s="18"/>
      <c r="H144" s="19"/>
    </row>
    <row r="145" spans="2:8">
      <c r="B145" s="18" t="s">
        <v>218</v>
      </c>
      <c r="C145" s="19">
        <v>45</v>
      </c>
      <c r="G145" s="18"/>
      <c r="H145" s="19"/>
    </row>
    <row r="146" spans="2:8">
      <c r="B146" s="18" t="s">
        <v>288</v>
      </c>
      <c r="C146" s="19">
        <v>4</v>
      </c>
      <c r="G146" s="18"/>
      <c r="H146" s="19"/>
    </row>
    <row r="147" spans="2:8">
      <c r="B147" s="18" t="s">
        <v>49</v>
      </c>
      <c r="C147" s="19">
        <v>62</v>
      </c>
      <c r="G147" s="18"/>
      <c r="H147" s="19"/>
    </row>
    <row r="148" spans="2:8">
      <c r="B148" s="18" t="s">
        <v>122</v>
      </c>
      <c r="C148" s="19">
        <v>107</v>
      </c>
      <c r="G148" s="18"/>
      <c r="H148" s="19"/>
    </row>
    <row r="149" spans="2:8">
      <c r="B149" s="18" t="s">
        <v>262</v>
      </c>
      <c r="C149" s="19">
        <v>4</v>
      </c>
      <c r="G149" s="18"/>
      <c r="H149" s="19"/>
    </row>
    <row r="150" spans="2:8">
      <c r="B150" s="18" t="s">
        <v>70</v>
      </c>
      <c r="C150" s="19">
        <v>5</v>
      </c>
      <c r="G150" s="18"/>
      <c r="H150" s="19"/>
    </row>
    <row r="151" spans="2:8">
      <c r="B151" s="18" t="s">
        <v>171</v>
      </c>
      <c r="C151" s="19">
        <v>18</v>
      </c>
      <c r="G151" s="18"/>
      <c r="H151" s="19"/>
    </row>
    <row r="152" spans="2:8">
      <c r="B152" s="18" t="s">
        <v>195</v>
      </c>
      <c r="C152" s="19">
        <v>60</v>
      </c>
      <c r="G152" s="18"/>
      <c r="H152" s="19"/>
    </row>
    <row r="153" spans="2:8">
      <c r="B153" s="18" t="s">
        <v>172</v>
      </c>
      <c r="C153" s="19">
        <v>3</v>
      </c>
      <c r="G153" s="18"/>
      <c r="H153" s="19"/>
    </row>
    <row r="154" spans="2:8">
      <c r="B154" s="18" t="s">
        <v>123</v>
      </c>
      <c r="C154" s="19">
        <v>15</v>
      </c>
      <c r="G154" s="18"/>
      <c r="H154" s="19"/>
    </row>
    <row r="155" spans="2:8">
      <c r="B155" s="18" t="s">
        <v>241</v>
      </c>
      <c r="C155" s="19">
        <v>15</v>
      </c>
      <c r="G155" s="18"/>
      <c r="H155" s="19"/>
    </row>
    <row r="156" spans="2:8">
      <c r="B156" s="18" t="s">
        <v>196</v>
      </c>
      <c r="C156" s="19">
        <v>35</v>
      </c>
      <c r="G156" s="18"/>
      <c r="H156" s="19"/>
    </row>
    <row r="157" spans="2:8">
      <c r="B157" s="18" t="s">
        <v>97</v>
      </c>
      <c r="C157" s="19">
        <v>4</v>
      </c>
      <c r="G157" s="18"/>
      <c r="H157" s="19"/>
    </row>
    <row r="158" spans="2:8">
      <c r="B158" s="18" t="s">
        <v>71</v>
      </c>
      <c r="C158" s="19">
        <v>45</v>
      </c>
      <c r="G158" s="18"/>
      <c r="H158" s="19"/>
    </row>
    <row r="159" spans="2:8">
      <c r="B159" s="18" t="s">
        <v>263</v>
      </c>
      <c r="C159" s="19">
        <v>58</v>
      </c>
      <c r="G159" s="18"/>
      <c r="H159" s="19"/>
    </row>
    <row r="160" spans="2:8">
      <c r="B160" s="18" t="s">
        <v>147</v>
      </c>
      <c r="C160" s="19">
        <v>15</v>
      </c>
      <c r="G160" s="18"/>
      <c r="H160" s="19"/>
    </row>
    <row r="161" spans="2:8">
      <c r="B161" s="18" t="s">
        <v>50</v>
      </c>
      <c r="C161" s="19">
        <v>15</v>
      </c>
      <c r="G161" s="18"/>
      <c r="H161" s="19"/>
    </row>
    <row r="162" spans="2:8">
      <c r="B162" s="18" t="s">
        <v>289</v>
      </c>
      <c r="C162" s="19">
        <v>58</v>
      </c>
      <c r="G162" s="18"/>
      <c r="H162" s="19"/>
    </row>
    <row r="163" spans="2:8">
      <c r="B163" s="18" t="s">
        <v>173</v>
      </c>
      <c r="C163" s="19">
        <v>60</v>
      </c>
      <c r="G163" s="18"/>
      <c r="H163" s="19"/>
    </row>
    <row r="164" spans="2:8">
      <c r="B164" s="18" t="s">
        <v>219</v>
      </c>
      <c r="C164" s="19">
        <v>4</v>
      </c>
      <c r="G164" s="18"/>
      <c r="H164" s="19"/>
    </row>
    <row r="165" spans="2:8">
      <c r="B165" s="18" t="s">
        <v>242</v>
      </c>
      <c r="C165" s="19">
        <v>4</v>
      </c>
      <c r="G165" s="18"/>
      <c r="H165" s="19"/>
    </row>
    <row r="166" spans="2:8">
      <c r="B166" s="18" t="s">
        <v>197</v>
      </c>
      <c r="C166" s="19">
        <v>5</v>
      </c>
      <c r="G166" s="18"/>
      <c r="H166" s="19"/>
    </row>
    <row r="167" spans="2:8">
      <c r="B167" s="18" t="s">
        <v>72</v>
      </c>
      <c r="C167" s="19">
        <v>18</v>
      </c>
      <c r="G167" s="18"/>
      <c r="H167" s="19"/>
    </row>
    <row r="168" spans="2:8">
      <c r="B168" s="18" t="s">
        <v>264</v>
      </c>
      <c r="C168" s="19">
        <v>20</v>
      </c>
      <c r="G168" s="18"/>
      <c r="H168" s="19"/>
    </row>
    <row r="169" spans="2:8">
      <c r="B169" s="18" t="s">
        <v>148</v>
      </c>
      <c r="C169" s="19">
        <v>24</v>
      </c>
      <c r="G169" s="18"/>
      <c r="H169" s="19"/>
    </row>
    <row r="170" spans="2:8">
      <c r="B170" s="18" t="s">
        <v>124</v>
      </c>
      <c r="C170" s="19">
        <v>5</v>
      </c>
      <c r="G170" s="18"/>
      <c r="H170" s="19"/>
    </row>
    <row r="171" spans="2:8">
      <c r="B171" s="18" t="s">
        <v>51</v>
      </c>
      <c r="C171" s="19">
        <v>4</v>
      </c>
      <c r="G171" s="18"/>
      <c r="H171" s="19"/>
    </row>
    <row r="172" spans="2:8">
      <c r="B172" s="18" t="s">
        <v>98</v>
      </c>
      <c r="C172" s="19">
        <v>50</v>
      </c>
      <c r="G172" s="18"/>
      <c r="H172" s="19"/>
    </row>
    <row r="173" spans="2:8">
      <c r="B173" s="18" t="s">
        <v>174</v>
      </c>
      <c r="C173" s="19">
        <v>20</v>
      </c>
      <c r="G173" s="18"/>
      <c r="H173" s="19"/>
    </row>
    <row r="174" spans="2:8">
      <c r="B174" s="18" t="s">
        <v>220</v>
      </c>
      <c r="C174" s="19">
        <v>120</v>
      </c>
      <c r="G174" s="18"/>
      <c r="H174" s="19"/>
    </row>
    <row r="175" spans="2:8">
      <c r="B175" s="18" t="s">
        <v>198</v>
      </c>
      <c r="C175" s="19">
        <v>62</v>
      </c>
      <c r="G175" s="18"/>
      <c r="H175" s="19"/>
    </row>
    <row r="176" spans="2:8">
      <c r="B176" s="18" t="s">
        <v>149</v>
      </c>
      <c r="C176" s="19">
        <v>58</v>
      </c>
      <c r="G176" s="18"/>
      <c r="H176" s="19"/>
    </row>
    <row r="177" spans="2:8">
      <c r="B177" s="18" t="s">
        <v>290</v>
      </c>
      <c r="C177" s="19">
        <v>5</v>
      </c>
      <c r="G177" s="18"/>
      <c r="H177" s="19"/>
    </row>
    <row r="178" spans="2:8">
      <c r="B178" s="18" t="s">
        <v>125</v>
      </c>
      <c r="C178" s="19">
        <v>58</v>
      </c>
      <c r="G178" s="18"/>
      <c r="H178" s="19"/>
    </row>
    <row r="179" spans="2:8">
      <c r="B179" s="18" t="s">
        <v>265</v>
      </c>
      <c r="C179" s="19">
        <v>5</v>
      </c>
      <c r="G179" s="18"/>
      <c r="H179" s="19"/>
    </row>
    <row r="180" spans="2:8">
      <c r="B180" s="18" t="s">
        <v>17</v>
      </c>
      <c r="C180" s="19">
        <v>60</v>
      </c>
      <c r="G180" s="18"/>
      <c r="H180" s="19"/>
    </row>
    <row r="181" spans="2:8">
      <c r="B181" s="18" t="s">
        <v>52</v>
      </c>
      <c r="C181" s="19">
        <v>45</v>
      </c>
      <c r="G181" s="18"/>
      <c r="H181" s="19"/>
    </row>
    <row r="182" spans="2:8">
      <c r="B182" s="18" t="s">
        <v>73</v>
      </c>
      <c r="C182" s="19">
        <v>3</v>
      </c>
      <c r="G182" s="18"/>
      <c r="H182" s="19"/>
    </row>
    <row r="183" spans="2:8">
      <c r="B183" s="18" t="s">
        <v>99</v>
      </c>
      <c r="C183" s="19">
        <v>25</v>
      </c>
      <c r="G183" s="18"/>
      <c r="H183" s="19"/>
    </row>
    <row r="184" spans="2:8">
      <c r="B184" s="18" t="s">
        <v>100</v>
      </c>
      <c r="C184" s="19">
        <v>5</v>
      </c>
      <c r="G184" s="18"/>
      <c r="H184" s="19"/>
    </row>
    <row r="185" spans="2:8">
      <c r="B185" s="18" t="s">
        <v>126</v>
      </c>
      <c r="C185" s="19">
        <v>20</v>
      </c>
      <c r="G185" s="18"/>
      <c r="H185" s="19"/>
    </row>
    <row r="186" spans="2:8">
      <c r="B186" s="18" t="s">
        <v>199</v>
      </c>
      <c r="C186" s="19">
        <v>15</v>
      </c>
      <c r="G186" s="18"/>
      <c r="H186" s="19"/>
    </row>
    <row r="187" spans="2:8">
      <c r="B187" s="18" t="s">
        <v>291</v>
      </c>
      <c r="C187" s="19">
        <v>45</v>
      </c>
      <c r="G187" s="18"/>
      <c r="H187" s="19"/>
    </row>
    <row r="188" spans="2:8">
      <c r="B188" s="18" t="s">
        <v>266</v>
      </c>
      <c r="C188" s="19">
        <v>45</v>
      </c>
      <c r="G188" s="18"/>
      <c r="H188" s="19"/>
    </row>
    <row r="189" spans="2:8">
      <c r="B189" s="18" t="s">
        <v>175</v>
      </c>
      <c r="C189" s="19">
        <v>5</v>
      </c>
      <c r="G189" s="18"/>
      <c r="H189" s="19"/>
    </row>
    <row r="190" spans="2:8">
      <c r="B190" s="18" t="s">
        <v>74</v>
      </c>
      <c r="C190" s="19">
        <v>80</v>
      </c>
      <c r="G190" s="18"/>
      <c r="H190" s="19"/>
    </row>
    <row r="191" spans="2:8">
      <c r="B191" s="18" t="s">
        <v>53</v>
      </c>
      <c r="C191" s="19">
        <v>20</v>
      </c>
      <c r="G191" s="18"/>
      <c r="H191" s="19"/>
    </row>
    <row r="192" spans="2:8">
      <c r="B192" s="18" t="s">
        <v>150</v>
      </c>
      <c r="C192" s="19">
        <v>20</v>
      </c>
      <c r="G192" s="18"/>
      <c r="H192" s="19"/>
    </row>
    <row r="193" spans="2:8">
      <c r="B193" s="18" t="s">
        <v>41</v>
      </c>
      <c r="C193" s="19">
        <v>20</v>
      </c>
      <c r="G193" s="18"/>
      <c r="H193" s="19"/>
    </row>
    <row r="194" spans="2:8">
      <c r="B194" s="18" t="s">
        <v>25</v>
      </c>
      <c r="C194" s="19">
        <v>20</v>
      </c>
      <c r="G194" s="18"/>
      <c r="H194" s="19"/>
    </row>
    <row r="195" spans="2:8">
      <c r="B195" s="18" t="s">
        <v>221</v>
      </c>
      <c r="C195" s="19">
        <v>20</v>
      </c>
      <c r="G195" s="18"/>
      <c r="H195" s="19"/>
    </row>
    <row r="196" spans="2:8">
      <c r="B196" s="18" t="s">
        <v>101</v>
      </c>
      <c r="C196" s="19">
        <v>45</v>
      </c>
      <c r="G196" s="18"/>
      <c r="H196" s="19"/>
    </row>
    <row r="197" spans="2:8">
      <c r="B197" s="18" t="s">
        <v>292</v>
      </c>
      <c r="C197" s="19">
        <v>15</v>
      </c>
      <c r="G197" s="18"/>
      <c r="H197" s="19"/>
    </row>
    <row r="198" spans="2:8">
      <c r="B198" s="18" t="s">
        <v>200</v>
      </c>
      <c r="C198" s="19">
        <v>4</v>
      </c>
      <c r="G198" s="18"/>
      <c r="H198" s="19"/>
    </row>
    <row r="199" spans="2:8">
      <c r="B199" s="18" t="s">
        <v>267</v>
      </c>
      <c r="C199" s="19">
        <v>15</v>
      </c>
      <c r="G199" s="18"/>
      <c r="H199" s="19"/>
    </row>
    <row r="200" spans="2:8">
      <c r="B200" s="18" t="s">
        <v>75</v>
      </c>
      <c r="C200" s="19">
        <v>20</v>
      </c>
      <c r="G200" s="18"/>
      <c r="H200" s="19"/>
    </row>
    <row r="201" spans="2:8">
      <c r="B201" s="18" t="s">
        <v>127</v>
      </c>
      <c r="C201" s="19">
        <v>4</v>
      </c>
      <c r="G201" s="18"/>
      <c r="H201" s="19"/>
    </row>
    <row r="202" spans="2:8">
      <c r="B202" s="18" t="s">
        <v>243</v>
      </c>
      <c r="C202" s="19">
        <v>5</v>
      </c>
      <c r="G202" s="18"/>
      <c r="H202" s="19"/>
    </row>
    <row r="203" spans="2:8">
      <c r="B203" s="18" t="s">
        <v>176</v>
      </c>
      <c r="C203" s="19">
        <v>62</v>
      </c>
      <c r="G203" s="18"/>
      <c r="H203" s="19"/>
    </row>
    <row r="204" spans="2:8">
      <c r="B204" s="18" t="s">
        <v>222</v>
      </c>
      <c r="C204" s="19">
        <v>5</v>
      </c>
      <c r="G204" s="18"/>
      <c r="H204" s="19"/>
    </row>
    <row r="205" spans="2:8">
      <c r="B205" s="18" t="s">
        <v>293</v>
      </c>
      <c r="C205" s="19">
        <v>4</v>
      </c>
      <c r="G205" s="18"/>
      <c r="H205" s="19"/>
    </row>
    <row r="206" spans="2:8">
      <c r="B206" s="18" t="s">
        <v>128</v>
      </c>
      <c r="C206" s="19">
        <v>50</v>
      </c>
      <c r="G206" s="18"/>
      <c r="H206" s="19"/>
    </row>
    <row r="207" spans="2:8">
      <c r="B207" s="18" t="s">
        <v>201</v>
      </c>
      <c r="C207" s="19">
        <v>5</v>
      </c>
      <c r="G207" s="18"/>
      <c r="H207" s="19"/>
    </row>
    <row r="208" spans="2:8">
      <c r="B208" s="18" t="s">
        <v>76</v>
      </c>
      <c r="C208" s="19">
        <v>5</v>
      </c>
      <c r="G208" s="18"/>
      <c r="H208" s="19"/>
    </row>
    <row r="209" spans="2:8">
      <c r="B209" s="18" t="s">
        <v>151</v>
      </c>
      <c r="C209" s="19">
        <v>5</v>
      </c>
      <c r="G209" s="18"/>
      <c r="H209" s="19"/>
    </row>
    <row r="210" spans="2:8">
      <c r="B210" s="18" t="s">
        <v>40</v>
      </c>
      <c r="C210" s="19">
        <v>45</v>
      </c>
      <c r="G210" s="18"/>
      <c r="H210" s="19"/>
    </row>
    <row r="211" spans="2:8">
      <c r="B211" s="18" t="s">
        <v>268</v>
      </c>
      <c r="C211" s="19">
        <v>4</v>
      </c>
      <c r="G211" s="18"/>
      <c r="H211" s="19"/>
    </row>
    <row r="212" spans="2:8">
      <c r="B212" s="18" t="s">
        <v>177</v>
      </c>
      <c r="C212" s="19">
        <v>15</v>
      </c>
      <c r="G212" s="18"/>
      <c r="H212" s="19"/>
    </row>
    <row r="213" spans="2:8">
      <c r="B213" s="18" t="s">
        <v>244</v>
      </c>
      <c r="C213" s="19">
        <v>45</v>
      </c>
      <c r="G213" s="18"/>
      <c r="H213" s="19"/>
    </row>
    <row r="214" spans="2:8">
      <c r="B214" s="18" t="s">
        <v>21</v>
      </c>
      <c r="C214" s="19">
        <v>5</v>
      </c>
      <c r="G214" s="18"/>
      <c r="H214" s="19"/>
    </row>
    <row r="215" spans="2:8">
      <c r="B215" s="18" t="s">
        <v>54</v>
      </c>
      <c r="C215" s="19">
        <v>5</v>
      </c>
      <c r="G215" s="18"/>
      <c r="H215" s="19"/>
    </row>
    <row r="216" spans="2:8">
      <c r="B216" s="18" t="s">
        <v>102</v>
      </c>
      <c r="C216" s="19">
        <v>18</v>
      </c>
      <c r="G216" s="18"/>
      <c r="H216" s="19"/>
    </row>
    <row r="217" spans="2:8">
      <c r="B217" s="18" t="s">
        <v>152</v>
      </c>
      <c r="C217" s="19">
        <v>45</v>
      </c>
      <c r="G217" s="18"/>
      <c r="H217" s="19"/>
    </row>
    <row r="218" spans="2:8">
      <c r="B218" s="18" t="s">
        <v>245</v>
      </c>
      <c r="C218" s="19">
        <v>15</v>
      </c>
      <c r="G218" s="18"/>
      <c r="H218" s="19"/>
    </row>
    <row r="219" spans="2:8">
      <c r="B219" s="18" t="s">
        <v>294</v>
      </c>
      <c r="C219" s="19">
        <v>62</v>
      </c>
      <c r="G219" s="18"/>
      <c r="H219" s="19"/>
    </row>
    <row r="220" spans="2:8">
      <c r="B220" s="18" t="s">
        <v>178</v>
      </c>
      <c r="C220" s="19">
        <v>4</v>
      </c>
      <c r="G220" s="18"/>
      <c r="H220" s="19"/>
    </row>
    <row r="221" spans="2:8">
      <c r="B221" s="18" t="s">
        <v>269</v>
      </c>
      <c r="C221" s="19">
        <v>62</v>
      </c>
      <c r="G221" s="18"/>
      <c r="H221" s="19"/>
    </row>
    <row r="222" spans="2:8">
      <c r="B222" s="18" t="s">
        <v>223</v>
      </c>
      <c r="C222" s="19">
        <v>50</v>
      </c>
      <c r="G222" s="18"/>
      <c r="H222" s="19"/>
    </row>
    <row r="223" spans="2:8">
      <c r="B223" s="18" t="s">
        <v>55</v>
      </c>
      <c r="C223" s="19">
        <v>60</v>
      </c>
      <c r="G223" s="18"/>
      <c r="H223" s="19"/>
    </row>
    <row r="224" spans="2:8">
      <c r="B224" s="18" t="s">
        <v>77</v>
      </c>
      <c r="C224" s="19">
        <v>62</v>
      </c>
      <c r="G224" s="18"/>
      <c r="H224" s="19"/>
    </row>
    <row r="225" spans="2:8">
      <c r="B225" s="18" t="s">
        <v>202</v>
      </c>
      <c r="C225" s="19">
        <v>58</v>
      </c>
      <c r="G225" s="18"/>
      <c r="H225" s="19"/>
    </row>
    <row r="226" spans="2:8">
      <c r="B226" s="18" t="s">
        <v>129</v>
      </c>
      <c r="C226" s="19">
        <v>25</v>
      </c>
      <c r="G226" s="18"/>
      <c r="H226" s="19"/>
    </row>
    <row r="227" spans="2:8">
      <c r="B227" s="18" t="s">
        <v>103</v>
      </c>
      <c r="C227" s="19">
        <v>3</v>
      </c>
      <c r="G227" s="18"/>
      <c r="H227" s="19"/>
    </row>
    <row r="228" spans="2:8">
      <c r="B228" s="18" t="s">
        <v>224</v>
      </c>
      <c r="C228" s="19">
        <v>15</v>
      </c>
      <c r="G228" s="18"/>
      <c r="H228" s="19"/>
    </row>
    <row r="229" spans="2:8">
      <c r="B229" s="18" t="s">
        <v>203</v>
      </c>
      <c r="C229" s="19">
        <v>20</v>
      </c>
      <c r="G229" s="18"/>
      <c r="H229" s="19"/>
    </row>
    <row r="230" spans="2:8">
      <c r="B230" s="18" t="s">
        <v>153</v>
      </c>
      <c r="C230" s="19">
        <v>15</v>
      </c>
      <c r="G230" s="18"/>
      <c r="H230" s="19"/>
    </row>
    <row r="231" spans="2:8">
      <c r="B231" s="18" t="s">
        <v>270</v>
      </c>
      <c r="C231" s="19">
        <v>20</v>
      </c>
      <c r="G231" s="18"/>
      <c r="H231" s="19"/>
    </row>
    <row r="232" spans="2:8">
      <c r="B232" s="18" t="s">
        <v>295</v>
      </c>
      <c r="C232" s="19">
        <v>20</v>
      </c>
      <c r="G232" s="18"/>
      <c r="H232" s="19"/>
    </row>
    <row r="233" spans="2:8">
      <c r="B233" s="18" t="s">
        <v>78</v>
      </c>
      <c r="C233" s="19">
        <v>15</v>
      </c>
      <c r="G233" s="18"/>
      <c r="H233" s="19"/>
    </row>
    <row r="234" spans="2:8">
      <c r="B234" s="18" t="s">
        <v>130</v>
      </c>
      <c r="C234" s="19">
        <v>5</v>
      </c>
      <c r="G234" s="18"/>
      <c r="H234" s="19"/>
    </row>
    <row r="235" spans="2:8">
      <c r="B235" s="18" t="s">
        <v>179</v>
      </c>
      <c r="C235" s="19">
        <v>58</v>
      </c>
      <c r="G235" s="18"/>
      <c r="H235" s="19"/>
    </row>
    <row r="236" spans="2:8">
      <c r="B236" s="18" t="s">
        <v>246</v>
      </c>
      <c r="C236" s="19">
        <v>4</v>
      </c>
      <c r="G236" s="18"/>
      <c r="H236" s="19"/>
    </row>
    <row r="237" spans="2:8">
      <c r="B237" s="18" t="s">
        <v>104</v>
      </c>
      <c r="C237" s="19">
        <v>60</v>
      </c>
      <c r="G237" s="18"/>
      <c r="H237" s="19"/>
    </row>
    <row r="238" spans="2:8">
      <c r="B238" s="18" t="s">
        <v>56</v>
      </c>
      <c r="C238" s="19">
        <v>15</v>
      </c>
      <c r="G238" s="18"/>
      <c r="H238" s="19"/>
    </row>
    <row r="239" spans="2:8">
      <c r="B239" s="18" t="s">
        <v>180</v>
      </c>
      <c r="C239" s="19">
        <v>20</v>
      </c>
      <c r="G239" s="18"/>
      <c r="H239" s="19"/>
    </row>
    <row r="240" spans="2:8">
      <c r="B240" s="18" t="s">
        <v>131</v>
      </c>
      <c r="C240" s="19">
        <v>45</v>
      </c>
      <c r="G240" s="18"/>
      <c r="H240" s="19"/>
    </row>
    <row r="241" spans="2:8">
      <c r="B241" s="18" t="s">
        <v>247</v>
      </c>
      <c r="C241" s="19">
        <v>62</v>
      </c>
      <c r="G241" s="18"/>
      <c r="H241" s="19"/>
    </row>
    <row r="242" spans="2:8">
      <c r="B242" s="18" t="s">
        <v>271</v>
      </c>
      <c r="C242" s="19">
        <v>5</v>
      </c>
      <c r="G242" s="18"/>
      <c r="H242" s="19"/>
    </row>
    <row r="243" spans="2:8">
      <c r="B243" s="18" t="s">
        <v>296</v>
      </c>
      <c r="C243" s="19">
        <v>5</v>
      </c>
      <c r="G243" s="18"/>
      <c r="H243" s="19"/>
    </row>
    <row r="244" spans="2:8">
      <c r="B244" s="18" t="s">
        <v>154</v>
      </c>
      <c r="C244" s="19">
        <v>4</v>
      </c>
      <c r="G244" s="18"/>
      <c r="H244" s="19"/>
    </row>
    <row r="245" spans="2:8">
      <c r="B245" s="18" t="s">
        <v>79</v>
      </c>
      <c r="C245" s="19">
        <v>4</v>
      </c>
      <c r="G245" s="18"/>
      <c r="H245" s="19"/>
    </row>
    <row r="246" spans="2:8">
      <c r="B246" s="18" t="s">
        <v>57</v>
      </c>
      <c r="C246" s="19">
        <v>4</v>
      </c>
      <c r="G246" s="18"/>
      <c r="H246" s="19"/>
    </row>
    <row r="247" spans="2:8">
      <c r="B247" s="18" t="s">
        <v>105</v>
      </c>
      <c r="C247" s="19">
        <v>20</v>
      </c>
      <c r="G247" s="18"/>
      <c r="H247" s="19"/>
    </row>
    <row r="248" spans="2:8">
      <c r="B248" s="18" t="s">
        <v>225</v>
      </c>
      <c r="C248" s="19">
        <v>4</v>
      </c>
      <c r="G248" s="18"/>
      <c r="H248" s="19"/>
    </row>
    <row r="249" spans="2:8">
      <c r="B249" s="18" t="s">
        <v>204</v>
      </c>
      <c r="C249" s="19">
        <v>4</v>
      </c>
      <c r="G249" s="18"/>
      <c r="H249" s="19"/>
    </row>
    <row r="250" spans="2:8">
      <c r="B250" s="18" t="s">
        <v>29</v>
      </c>
      <c r="C250" s="19">
        <v>4</v>
      </c>
      <c r="G250" s="18"/>
      <c r="H250" s="19"/>
    </row>
    <row r="251" spans="2:8">
      <c r="B251" s="18" t="s">
        <v>155</v>
      </c>
      <c r="C251" s="19">
        <v>62</v>
      </c>
      <c r="G251" s="18"/>
      <c r="H251" s="19"/>
    </row>
    <row r="252" spans="2:8">
      <c r="B252" s="18" t="s">
        <v>248</v>
      </c>
      <c r="C252" s="19">
        <v>20</v>
      </c>
      <c r="G252" s="18"/>
      <c r="H252" s="19"/>
    </row>
    <row r="253" spans="2:8">
      <c r="B253" s="18" t="s">
        <v>297</v>
      </c>
      <c r="C253" s="19">
        <v>50</v>
      </c>
      <c r="G253" s="18"/>
      <c r="H253" s="19"/>
    </row>
    <row r="254" spans="2:8">
      <c r="B254" s="18" t="s">
        <v>106</v>
      </c>
      <c r="C254" s="19">
        <v>5</v>
      </c>
      <c r="G254" s="18"/>
      <c r="H254" s="19"/>
    </row>
    <row r="255" spans="2:8">
      <c r="B255" s="18" t="s">
        <v>80</v>
      </c>
      <c r="C255" s="19">
        <v>58</v>
      </c>
      <c r="G255" s="18"/>
      <c r="H255" s="19"/>
    </row>
    <row r="256" spans="2:8">
      <c r="B256" s="18" t="s">
        <v>181</v>
      </c>
      <c r="C256" s="19">
        <v>5</v>
      </c>
      <c r="G256" s="18"/>
      <c r="H256" s="19"/>
    </row>
    <row r="257" spans="2:8">
      <c r="B257" s="18" t="s">
        <v>272</v>
      </c>
      <c r="C257" s="19">
        <v>50</v>
      </c>
      <c r="G257" s="18"/>
      <c r="H257" s="19"/>
    </row>
    <row r="258" spans="2:8">
      <c r="B258" s="18" t="s">
        <v>156</v>
      </c>
      <c r="C258" s="19">
        <v>25</v>
      </c>
      <c r="G258" s="18"/>
      <c r="H258" s="19"/>
    </row>
    <row r="259" spans="2:8">
      <c r="B259" s="18" t="s">
        <v>132</v>
      </c>
      <c r="C259" s="19">
        <v>18</v>
      </c>
      <c r="G259" s="18"/>
      <c r="H259" s="19"/>
    </row>
    <row r="260" spans="2:8">
      <c r="B260" s="18" t="s">
        <v>273</v>
      </c>
      <c r="C260" s="19">
        <v>5</v>
      </c>
      <c r="G260" s="18"/>
      <c r="H260" s="19"/>
    </row>
    <row r="261" spans="2:8">
      <c r="B261" s="18" t="s">
        <v>58</v>
      </c>
      <c r="C261" s="19">
        <v>58</v>
      </c>
      <c r="G261" s="18"/>
      <c r="H261" s="19"/>
    </row>
    <row r="262" spans="2:8">
      <c r="B262" s="18" t="s">
        <v>226</v>
      </c>
      <c r="C262" s="19">
        <v>58</v>
      </c>
      <c r="G262" s="18"/>
      <c r="H262" s="19"/>
    </row>
    <row r="263" spans="2:8">
      <c r="B263" s="18" t="s">
        <v>205</v>
      </c>
      <c r="C263" s="19">
        <v>50</v>
      </c>
      <c r="G263" s="18"/>
      <c r="H263" s="19"/>
    </row>
    <row r="264" spans="2:8">
      <c r="B264" s="18" t="s">
        <v>107</v>
      </c>
      <c r="C264" s="19">
        <v>62</v>
      </c>
      <c r="G264" s="18"/>
      <c r="H264" s="19"/>
    </row>
    <row r="265" spans="2:8">
      <c r="B265" s="18" t="s">
        <v>298</v>
      </c>
      <c r="C265" s="19">
        <v>15</v>
      </c>
      <c r="G265" s="18"/>
      <c r="H265" s="19"/>
    </row>
    <row r="266" spans="2:8">
      <c r="B266" s="18" t="s">
        <v>81</v>
      </c>
      <c r="C266" s="19">
        <v>20</v>
      </c>
      <c r="G266" s="18"/>
      <c r="H266" s="19"/>
    </row>
    <row r="267" spans="2:8">
      <c r="B267" s="18" t="s">
        <v>182</v>
      </c>
      <c r="C267" s="19">
        <v>45</v>
      </c>
      <c r="G267" s="18"/>
      <c r="H267" s="19"/>
    </row>
    <row r="268" spans="2:8">
      <c r="B268" s="18" t="s">
        <v>39</v>
      </c>
      <c r="C268" s="19">
        <v>4</v>
      </c>
      <c r="G268" s="18"/>
      <c r="H268" s="19"/>
    </row>
    <row r="269" spans="2:8">
      <c r="B269" s="18" t="s">
        <v>108</v>
      </c>
      <c r="C269" s="19">
        <v>15</v>
      </c>
      <c r="G269" s="18"/>
      <c r="H269" s="19"/>
    </row>
    <row r="270" spans="2:8">
      <c r="B270" s="18" t="s">
        <v>133</v>
      </c>
      <c r="C270" s="19">
        <v>3</v>
      </c>
      <c r="G270" s="18"/>
      <c r="H270" s="19"/>
    </row>
    <row r="271" spans="2:8">
      <c r="B271" s="18" t="s">
        <v>59</v>
      </c>
      <c r="C271" s="19">
        <v>20</v>
      </c>
      <c r="G271" s="18"/>
      <c r="H271" s="19"/>
    </row>
    <row r="272" spans="2:8">
      <c r="B272" s="18" t="s">
        <v>206</v>
      </c>
      <c r="C272" s="19">
        <v>25</v>
      </c>
      <c r="G272" s="18"/>
      <c r="H272" s="19"/>
    </row>
    <row r="273" spans="2:8">
      <c r="B273" s="18" t="s">
        <v>249</v>
      </c>
      <c r="C273" s="19">
        <v>50</v>
      </c>
      <c r="G273" s="18"/>
      <c r="H273" s="19"/>
    </row>
    <row r="274" spans="2:8">
      <c r="B274" s="18" t="s">
        <v>274</v>
      </c>
      <c r="C274" s="19">
        <v>58</v>
      </c>
      <c r="G274" s="18"/>
      <c r="H274" s="19"/>
    </row>
    <row r="275" spans="2:8">
      <c r="B275" s="18" t="s">
        <v>299</v>
      </c>
      <c r="C275" s="19">
        <v>4</v>
      </c>
      <c r="G275" s="18"/>
      <c r="H275" s="19"/>
    </row>
    <row r="276" spans="2:8">
      <c r="B276" s="18" t="s">
        <v>157</v>
      </c>
      <c r="C276" s="19">
        <v>5</v>
      </c>
      <c r="G276" s="18"/>
      <c r="H276" s="19"/>
    </row>
    <row r="277" spans="2:8">
      <c r="B277" s="18" t="s">
        <v>37</v>
      </c>
      <c r="C277" s="19">
        <v>60</v>
      </c>
      <c r="G277" s="18"/>
      <c r="H277" s="19"/>
    </row>
    <row r="278" spans="2:8">
      <c r="B278" s="18" t="s">
        <v>183</v>
      </c>
      <c r="C278" s="19">
        <v>15</v>
      </c>
      <c r="G278" s="18"/>
      <c r="H278" s="19"/>
    </row>
    <row r="279" spans="2:8">
      <c r="B279" s="18" t="s">
        <v>227</v>
      </c>
      <c r="C279" s="19">
        <v>20</v>
      </c>
      <c r="G279" s="18"/>
      <c r="H279" s="19"/>
    </row>
    <row r="280" spans="2:8">
      <c r="B280" s="18" t="s">
        <v>82</v>
      </c>
      <c r="C280" s="19">
        <v>5</v>
      </c>
      <c r="G280" s="18"/>
      <c r="H280" s="19"/>
    </row>
    <row r="281" spans="2:8">
      <c r="B281" s="18" t="s">
        <v>60</v>
      </c>
      <c r="C281" s="19">
        <v>5</v>
      </c>
      <c r="G281" s="18"/>
      <c r="H281" s="19"/>
    </row>
    <row r="282" spans="2:8">
      <c r="B282" s="18" t="s">
        <v>300</v>
      </c>
      <c r="C282" s="19">
        <v>58</v>
      </c>
      <c r="G282" s="18"/>
      <c r="H282" s="19"/>
    </row>
    <row r="283" spans="2:8">
      <c r="B283" s="18" t="s">
        <v>275</v>
      </c>
      <c r="C283" s="19">
        <v>20</v>
      </c>
      <c r="G283" s="18"/>
      <c r="H283" s="19"/>
    </row>
    <row r="284" spans="2:8">
      <c r="B284" s="18" t="s">
        <v>134</v>
      </c>
      <c r="C284" s="19">
        <v>5</v>
      </c>
      <c r="G284" s="18"/>
      <c r="H284" s="19"/>
    </row>
    <row r="285" spans="2:8">
      <c r="B285" s="18" t="s">
        <v>207</v>
      </c>
      <c r="C285" s="19">
        <v>5</v>
      </c>
      <c r="G285" s="18"/>
      <c r="H285" s="19"/>
    </row>
    <row r="286" spans="2:8">
      <c r="B286" s="18" t="s">
        <v>250</v>
      </c>
      <c r="C286" s="19">
        <v>15</v>
      </c>
      <c r="G286" s="18"/>
      <c r="H286" s="19"/>
    </row>
    <row r="287" spans="2:8">
      <c r="B287" s="18" t="s">
        <v>109</v>
      </c>
      <c r="C287" s="19">
        <v>4</v>
      </c>
      <c r="G287" s="18"/>
      <c r="H287" s="19"/>
    </row>
    <row r="288" spans="2:8">
      <c r="B288" s="18" t="s">
        <v>158</v>
      </c>
      <c r="C288" s="19">
        <v>50</v>
      </c>
      <c r="G288" s="18"/>
      <c r="H288" s="19"/>
    </row>
    <row r="289" spans="2:8">
      <c r="B289" s="18" t="s">
        <v>184</v>
      </c>
      <c r="C289" s="19">
        <v>4</v>
      </c>
      <c r="G289" s="18"/>
      <c r="H289" s="19"/>
    </row>
    <row r="290" spans="2:8">
      <c r="B290" s="18" t="s">
        <v>83</v>
      </c>
      <c r="C290" s="19">
        <v>45</v>
      </c>
      <c r="G290" s="18"/>
      <c r="H290" s="19"/>
    </row>
    <row r="291" spans="2:8">
      <c r="B291" s="18" t="s">
        <v>228</v>
      </c>
      <c r="C291" s="19">
        <v>5</v>
      </c>
      <c r="G291" s="18"/>
      <c r="H291" s="19"/>
    </row>
    <row r="292" spans="2:8">
      <c r="B292" s="18" t="s">
        <v>276</v>
      </c>
      <c r="C292" s="19">
        <v>4</v>
      </c>
      <c r="G292" s="18"/>
      <c r="H292" s="19"/>
    </row>
    <row r="293" spans="2:8">
      <c r="B293" s="18" t="s">
        <v>84</v>
      </c>
      <c r="C293" s="19">
        <v>15</v>
      </c>
      <c r="G293" s="18"/>
      <c r="H293" s="19"/>
    </row>
    <row r="294" spans="2:8">
      <c r="B294" s="18" t="s">
        <v>135</v>
      </c>
      <c r="C294" s="19">
        <v>58</v>
      </c>
      <c r="G294" s="18"/>
      <c r="H294" s="19"/>
    </row>
    <row r="295" spans="2:8">
      <c r="B295" s="18" t="s">
        <v>208</v>
      </c>
      <c r="C295" s="19">
        <v>45</v>
      </c>
      <c r="G295" s="18"/>
      <c r="H295" s="19"/>
    </row>
    <row r="296" spans="2:8">
      <c r="B296" s="18" t="s">
        <v>110</v>
      </c>
      <c r="C296" s="19">
        <v>58</v>
      </c>
      <c r="G296" s="18"/>
      <c r="H296" s="19"/>
    </row>
    <row r="297" spans="2:8">
      <c r="B297" s="18" t="s">
        <v>185</v>
      </c>
      <c r="C297" s="19">
        <v>62</v>
      </c>
      <c r="G297" s="18"/>
      <c r="H297" s="19"/>
    </row>
    <row r="298" spans="2:8">
      <c r="B298" s="18" t="s">
        <v>251</v>
      </c>
      <c r="C298" s="19">
        <v>4</v>
      </c>
      <c r="G298" s="18"/>
      <c r="H298" s="19"/>
    </row>
    <row r="299" spans="2:8">
      <c r="B299" s="18" t="s">
        <v>229</v>
      </c>
      <c r="C299" s="19">
        <v>58</v>
      </c>
      <c r="G299" s="18"/>
      <c r="H299" s="19"/>
    </row>
    <row r="300" spans="2:8">
      <c r="B300" s="18" t="s">
        <v>159</v>
      </c>
      <c r="C300" s="19">
        <v>35</v>
      </c>
      <c r="G300" s="18"/>
      <c r="H300" s="19"/>
    </row>
    <row r="301" spans="2:8">
      <c r="B301" s="18" t="s">
        <v>277</v>
      </c>
      <c r="C301" s="19">
        <v>50</v>
      </c>
      <c r="G301" s="18"/>
      <c r="H301" s="19"/>
    </row>
    <row r="302" spans="2:8">
      <c r="B302" s="18" t="s">
        <v>85</v>
      </c>
      <c r="C302" s="19">
        <v>4</v>
      </c>
      <c r="G302" s="18"/>
      <c r="H302" s="19"/>
    </row>
    <row r="303" spans="2:8">
      <c r="B303" s="18" t="s">
        <v>252</v>
      </c>
      <c r="C303" s="19">
        <v>58</v>
      </c>
      <c r="G303" s="18"/>
      <c r="H303" s="19"/>
    </row>
    <row r="304" spans="2:8">
      <c r="B304" s="18" t="s">
        <v>186</v>
      </c>
      <c r="C304" s="19">
        <v>20</v>
      </c>
      <c r="G304" s="18"/>
      <c r="H304" s="19"/>
    </row>
    <row r="305" spans="2:8">
      <c r="B305" s="18" t="s">
        <v>160</v>
      </c>
      <c r="C305" s="19">
        <v>9</v>
      </c>
      <c r="G305" s="18"/>
      <c r="H305" s="19"/>
    </row>
    <row r="306" spans="2:8">
      <c r="B306" s="18" t="s">
        <v>209</v>
      </c>
      <c r="C306" s="19">
        <v>18</v>
      </c>
      <c r="G306" s="18"/>
      <c r="H306" s="19"/>
    </row>
    <row r="307" spans="2:8">
      <c r="B307" s="18" t="s">
        <v>230</v>
      </c>
      <c r="C307" s="19">
        <v>20</v>
      </c>
      <c r="G307" s="18"/>
      <c r="H307" s="19"/>
    </row>
    <row r="308" spans="2:8">
      <c r="B308" s="18" t="s">
        <v>111</v>
      </c>
      <c r="C308" s="19">
        <v>20</v>
      </c>
      <c r="G308" s="18"/>
      <c r="H308" s="19"/>
    </row>
    <row r="309" spans="2:8">
      <c r="B309" s="18" t="s">
        <v>136</v>
      </c>
      <c r="C309" s="19">
        <v>20</v>
      </c>
      <c r="G309" s="18"/>
      <c r="H309" s="19"/>
    </row>
    <row r="310" spans="2:8">
      <c r="B310" s="18" t="s">
        <v>61</v>
      </c>
      <c r="C310" s="19">
        <v>62</v>
      </c>
      <c r="G310" s="18"/>
      <c r="H310" s="19"/>
    </row>
    <row r="311" spans="2:8">
      <c r="B311" s="18" t="s">
        <v>187</v>
      </c>
      <c r="C311" s="19">
        <v>5</v>
      </c>
      <c r="G311" s="18"/>
      <c r="H311" s="19"/>
    </row>
    <row r="312" spans="2:8">
      <c r="B312" s="18" t="s">
        <v>161</v>
      </c>
      <c r="C312" s="19">
        <v>58</v>
      </c>
      <c r="G312" s="18"/>
      <c r="H312" s="19"/>
    </row>
    <row r="313" spans="2:8">
      <c r="B313" s="18" t="s">
        <v>231</v>
      </c>
      <c r="C313" s="19">
        <v>4</v>
      </c>
      <c r="G313" s="18"/>
      <c r="H313" s="19"/>
    </row>
    <row r="314" spans="2:8">
      <c r="B314" s="18" t="s">
        <v>112</v>
      </c>
      <c r="C314" s="19">
        <v>5</v>
      </c>
      <c r="G314" s="18"/>
      <c r="H314" s="19"/>
    </row>
    <row r="315" spans="2:8">
      <c r="B315" s="18" t="s">
        <v>210</v>
      </c>
      <c r="C315" s="19">
        <v>48</v>
      </c>
      <c r="G315" s="18"/>
      <c r="H315" s="19"/>
    </row>
    <row r="316" spans="2:8">
      <c r="B316" s="18" t="s">
        <v>253</v>
      </c>
      <c r="C316" s="19">
        <v>20</v>
      </c>
      <c r="G316" s="18"/>
      <c r="H316" s="19"/>
    </row>
    <row r="317" spans="2:8">
      <c r="B317" s="18" t="s">
        <v>278</v>
      </c>
      <c r="C317" s="19">
        <v>25</v>
      </c>
      <c r="G317" s="18"/>
      <c r="H317" s="19"/>
    </row>
    <row r="318" spans="2:8">
      <c r="B318" s="18" t="s">
        <v>86</v>
      </c>
      <c r="C318" s="19">
        <v>62</v>
      </c>
      <c r="G318" s="18"/>
      <c r="H318" s="19"/>
    </row>
    <row r="319" spans="2:8">
      <c r="B319" s="18" t="s">
        <v>137</v>
      </c>
      <c r="C319" s="19">
        <v>4</v>
      </c>
      <c r="G319" s="18"/>
      <c r="H319" s="19"/>
    </row>
    <row r="320" spans="2:8">
      <c r="B320" s="18" t="s">
        <v>232</v>
      </c>
      <c r="C320" s="19">
        <v>50</v>
      </c>
      <c r="G320" s="18"/>
      <c r="H320" s="19"/>
    </row>
    <row r="321" spans="2:8">
      <c r="B321" s="18" t="s">
        <v>162</v>
      </c>
      <c r="C321" s="19">
        <v>20</v>
      </c>
      <c r="G321" s="18"/>
      <c r="H321" s="19"/>
    </row>
    <row r="322" spans="2:8">
      <c r="B322" s="18" t="s">
        <v>254</v>
      </c>
      <c r="C322" s="19">
        <v>5</v>
      </c>
      <c r="G322" s="18"/>
      <c r="H322" s="19"/>
    </row>
    <row r="323" spans="2:8">
      <c r="B323" s="18" t="s">
        <v>138</v>
      </c>
      <c r="C323" s="19">
        <v>50</v>
      </c>
      <c r="G323" s="18"/>
      <c r="H323" s="19"/>
    </row>
    <row r="324" spans="2:8">
      <c r="B324" s="18" t="s">
        <v>301</v>
      </c>
      <c r="C324" s="19">
        <v>18</v>
      </c>
      <c r="G324" s="18"/>
      <c r="H324" s="19"/>
    </row>
    <row r="325" spans="2:8">
      <c r="B325" s="18" t="s">
        <v>211</v>
      </c>
      <c r="C325" s="19">
        <v>60</v>
      </c>
      <c r="G325" s="18"/>
      <c r="H325" s="19"/>
    </row>
    <row r="326" spans="2:8">
      <c r="B326" s="18" t="s">
        <v>113</v>
      </c>
      <c r="C326" s="19">
        <v>45</v>
      </c>
      <c r="G326" s="18"/>
      <c r="H326" s="19"/>
    </row>
    <row r="327" spans="2:8">
      <c r="B327" s="18" t="s">
        <v>279</v>
      </c>
      <c r="C327" s="19">
        <v>5</v>
      </c>
      <c r="G327" s="18"/>
      <c r="H327" s="19"/>
    </row>
    <row r="328" spans="2:8">
      <c r="B328" s="18" t="s">
        <v>87</v>
      </c>
      <c r="C328" s="19">
        <v>70</v>
      </c>
      <c r="G328" s="18"/>
      <c r="H328" s="19"/>
    </row>
    <row r="329" spans="2:8">
      <c r="B329" s="18" t="s">
        <v>139</v>
      </c>
      <c r="C329" s="19">
        <v>25</v>
      </c>
      <c r="G329" s="18"/>
      <c r="H329" s="19"/>
    </row>
    <row r="330" spans="2:8">
      <c r="B330" s="18" t="s">
        <v>88</v>
      </c>
      <c r="C330" s="19">
        <v>5</v>
      </c>
      <c r="G330" s="18"/>
      <c r="H330" s="19"/>
    </row>
    <row r="331" spans="2:8">
      <c r="B331" s="18" t="s">
        <v>212</v>
      </c>
      <c r="C331" s="19">
        <v>20</v>
      </c>
      <c r="G331" s="18"/>
      <c r="H331" s="19"/>
    </row>
    <row r="332" spans="2:8">
      <c r="B332" s="18" t="s">
        <v>255</v>
      </c>
      <c r="C332" s="19">
        <v>50</v>
      </c>
      <c r="G332" s="18"/>
      <c r="H332" s="19"/>
    </row>
    <row r="333" spans="2:8">
      <c r="B333" s="18" t="s">
        <v>114</v>
      </c>
      <c r="C333" s="19">
        <v>15</v>
      </c>
      <c r="G333" s="18"/>
      <c r="H333" s="19"/>
    </row>
    <row r="334" spans="2:8">
      <c r="B334" s="18" t="s">
        <v>302</v>
      </c>
      <c r="C334" s="19">
        <v>3</v>
      </c>
      <c r="G334" s="18"/>
      <c r="H334" s="19"/>
    </row>
    <row r="335" spans="2:8">
      <c r="B335" s="18" t="s">
        <v>188</v>
      </c>
      <c r="C335" s="19">
        <v>15</v>
      </c>
      <c r="G335" s="18"/>
      <c r="H335" s="19"/>
    </row>
    <row r="336" spans="2:8">
      <c r="B336" s="18" t="s">
        <v>62</v>
      </c>
      <c r="C336" s="19">
        <v>15</v>
      </c>
      <c r="G336" s="18"/>
      <c r="H336" s="19"/>
    </row>
    <row r="337" spans="2:8">
      <c r="B337" s="18" t="s">
        <v>233</v>
      </c>
      <c r="C337" s="19">
        <v>25</v>
      </c>
      <c r="G337" s="18"/>
      <c r="H337" s="19"/>
    </row>
    <row r="338" spans="2:8">
      <c r="B338" s="18" t="s">
        <v>280</v>
      </c>
      <c r="C338" s="19">
        <v>45</v>
      </c>
      <c r="G338" s="18"/>
      <c r="H338" s="19"/>
    </row>
    <row r="339" spans="2:8">
      <c r="B339" s="18" t="s">
        <v>163</v>
      </c>
      <c r="C339" s="19">
        <v>5</v>
      </c>
      <c r="G339" s="18"/>
      <c r="H339" s="19"/>
    </row>
    <row r="340" spans="2:8">
      <c r="B340" s="18" t="s">
        <v>234</v>
      </c>
      <c r="C340" s="19">
        <v>5</v>
      </c>
      <c r="G340" s="18"/>
      <c r="H340" s="19"/>
    </row>
    <row r="341" spans="2:8">
      <c r="B341" s="18" t="s">
        <v>89</v>
      </c>
      <c r="C341" s="19">
        <v>60</v>
      </c>
      <c r="G341" s="18"/>
      <c r="H341" s="19"/>
    </row>
    <row r="342" spans="2:8">
      <c r="B342" s="18" t="s">
        <v>213</v>
      </c>
      <c r="C342" s="19">
        <v>5</v>
      </c>
      <c r="G342" s="18"/>
      <c r="H342" s="19"/>
    </row>
    <row r="343" spans="2:8">
      <c r="B343" s="18" t="s">
        <v>189</v>
      </c>
      <c r="C343" s="19">
        <v>4</v>
      </c>
      <c r="G343" s="18"/>
      <c r="H343" s="19"/>
    </row>
    <row r="344" spans="2:8">
      <c r="B344" s="18" t="s">
        <v>303</v>
      </c>
      <c r="C344" s="19">
        <v>60</v>
      </c>
      <c r="G344" s="18"/>
      <c r="H344" s="19"/>
    </row>
    <row r="345" spans="2:8">
      <c r="B345" s="18" t="s">
        <v>256</v>
      </c>
      <c r="C345" s="19">
        <v>18</v>
      </c>
      <c r="G345" s="18"/>
      <c r="H345" s="19"/>
    </row>
    <row r="346" spans="2:8">
      <c r="B346" s="18" t="s">
        <v>164</v>
      </c>
      <c r="C346" s="19">
        <v>58</v>
      </c>
      <c r="G346" s="18"/>
      <c r="H346" s="19"/>
    </row>
    <row r="347" spans="2:8">
      <c r="B347" s="18" t="s">
        <v>115</v>
      </c>
      <c r="C347" s="19">
        <v>4</v>
      </c>
      <c r="G347" s="18"/>
      <c r="H347" s="19"/>
    </row>
    <row r="348" spans="2:8">
      <c r="B348" s="18" t="s">
        <v>63</v>
      </c>
      <c r="C348" s="19">
        <v>4</v>
      </c>
      <c r="G348" s="18"/>
      <c r="H348" s="19"/>
    </row>
    <row r="349" spans="2:8">
      <c r="B349" s="18" t="s">
        <v>281</v>
      </c>
      <c r="C349" s="19">
        <v>18</v>
      </c>
      <c r="G349" s="18"/>
      <c r="H349" s="19"/>
    </row>
    <row r="350" spans="2:8">
      <c r="B350" s="18" t="s">
        <v>140</v>
      </c>
      <c r="C350" s="19">
        <v>5</v>
      </c>
      <c r="G350" s="18"/>
      <c r="H350" s="19"/>
    </row>
    <row r="351" spans="2:8">
      <c r="B351" s="18" t="s">
        <v>314</v>
      </c>
      <c r="C351" s="20">
        <v>7633</v>
      </c>
      <c r="G351" s="18"/>
      <c r="H351" s="19"/>
    </row>
    <row r="352" spans="2:8">
      <c r="G352" s="18"/>
      <c r="H352" s="19"/>
    </row>
    <row r="353" spans="7:8">
      <c r="G353" s="18"/>
      <c r="H353" s="20"/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4"/>
  <sheetViews>
    <sheetView showGridLines="0" showRowColHeaders="0" tabSelected="1" zoomScale="70" zoomScaleNormal="70" workbookViewId="0">
      <selection activeCell="A29" sqref="A29"/>
    </sheetView>
  </sheetViews>
  <sheetFormatPr defaultRowHeight="14.25"/>
  <cols>
    <col min="1" max="1" width="24.125" style="4" customWidth="1"/>
    <col min="2" max="2" width="3.625" customWidth="1"/>
    <col min="12" max="12" width="6.625" customWidth="1"/>
    <col min="15" max="15" width="11.875" customWidth="1"/>
    <col min="22" max="22" width="7.375" customWidth="1"/>
  </cols>
  <sheetData>
    <row r="1" spans="1:22" ht="24.75" customHeight="1"/>
    <row r="2" spans="1:22" ht="39" customHeight="1" thickBot="1">
      <c r="C2" s="25" t="s">
        <v>339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27"/>
      <c r="T2" s="27"/>
      <c r="U2" s="27"/>
      <c r="V2" s="27"/>
    </row>
    <row r="3" spans="1:22" ht="20.25" customHeight="1" thickTop="1"/>
    <row r="4" spans="1:22" s="7" customFormat="1" ht="8.25" customHeight="1">
      <c r="A4" s="4"/>
    </row>
    <row r="5" spans="1:22" s="7" customFormat="1" ht="7.5" customHeight="1">
      <c r="A5" s="4"/>
    </row>
    <row r="6" spans="1:22" s="7" customFormat="1" ht="10.5" customHeight="1">
      <c r="A6" s="4"/>
      <c r="K6" s="26"/>
    </row>
    <row r="7" spans="1:22" s="7" customFormat="1" ht="9.75" customHeight="1">
      <c r="A7" s="4"/>
    </row>
    <row r="8" spans="1:22" s="7" customFormat="1" ht="33" customHeight="1">
      <c r="A8" s="4"/>
    </row>
    <row r="9" spans="1:22" s="7" customFormat="1">
      <c r="A9" s="4"/>
    </row>
    <row r="10" spans="1:22" s="7" customFormat="1">
      <c r="A10" s="4"/>
    </row>
    <row r="11" spans="1:22" s="7" customFormat="1">
      <c r="A11" s="4"/>
    </row>
    <row r="12" spans="1:22" s="7" customFormat="1">
      <c r="A12" s="4"/>
    </row>
    <row r="13" spans="1:22" s="7" customFormat="1">
      <c r="A13" s="4"/>
    </row>
    <row r="14" spans="1:22" s="7" customFormat="1">
      <c r="A14" s="4"/>
    </row>
    <row r="15" spans="1:22" s="7" customFormat="1">
      <c r="A15" s="4"/>
    </row>
    <row r="16" spans="1:22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  <row r="502" spans="1:1" s="7" customFormat="1">
      <c r="A502" s="4"/>
    </row>
    <row r="503" spans="1:1" s="7" customFormat="1">
      <c r="A503" s="4"/>
    </row>
    <row r="504" spans="1:1" s="7" customFormat="1">
      <c r="A504" s="4"/>
    </row>
    <row r="505" spans="1:1" s="7" customFormat="1">
      <c r="A505" s="4"/>
    </row>
    <row r="506" spans="1:1" s="7" customFormat="1">
      <c r="A506" s="4"/>
    </row>
    <row r="507" spans="1:1" s="7" customFormat="1">
      <c r="A507" s="4"/>
    </row>
    <row r="508" spans="1:1" s="7" customFormat="1">
      <c r="A508" s="4"/>
    </row>
    <row r="509" spans="1:1" s="7" customFormat="1">
      <c r="A509" s="4"/>
    </row>
    <row r="510" spans="1:1" s="7" customFormat="1">
      <c r="A510" s="4"/>
    </row>
    <row r="511" spans="1:1" s="7" customFormat="1">
      <c r="A511" s="4"/>
    </row>
    <row r="512" spans="1:1" s="7" customFormat="1">
      <c r="A512" s="4"/>
    </row>
    <row r="513" spans="1:1" s="7" customFormat="1">
      <c r="A513" s="4"/>
    </row>
    <row r="514" spans="1:1" s="7" customFormat="1">
      <c r="A514" s="4"/>
    </row>
    <row r="515" spans="1:1" s="7" customFormat="1">
      <c r="A515" s="4"/>
    </row>
    <row r="516" spans="1:1" s="7" customFormat="1">
      <c r="A516" s="4"/>
    </row>
    <row r="517" spans="1:1" s="7" customFormat="1">
      <c r="A517" s="4"/>
    </row>
    <row r="518" spans="1:1" s="7" customFormat="1">
      <c r="A518" s="4"/>
    </row>
    <row r="519" spans="1:1" s="7" customFormat="1">
      <c r="A519" s="4"/>
    </row>
    <row r="520" spans="1:1" s="7" customFormat="1">
      <c r="A520" s="4"/>
    </row>
    <row r="521" spans="1:1" s="7" customFormat="1">
      <c r="A521" s="4"/>
    </row>
    <row r="522" spans="1:1" s="7" customFormat="1">
      <c r="A522" s="4"/>
    </row>
    <row r="523" spans="1:1" s="7" customFormat="1">
      <c r="A523" s="4"/>
    </row>
    <row r="524" spans="1:1" s="7" customFormat="1">
      <c r="A524" s="4"/>
    </row>
    <row r="525" spans="1:1" s="7" customFormat="1">
      <c r="A525" s="4"/>
    </row>
    <row r="526" spans="1:1" s="7" customFormat="1">
      <c r="A526" s="4"/>
    </row>
    <row r="527" spans="1:1" s="7" customFormat="1">
      <c r="A527" s="4"/>
    </row>
    <row r="528" spans="1:1" s="7" customFormat="1">
      <c r="A528" s="4"/>
    </row>
    <row r="529" spans="1:1" s="7" customFormat="1">
      <c r="A529" s="4"/>
    </row>
    <row r="530" spans="1:1" s="7" customFormat="1">
      <c r="A530" s="4"/>
    </row>
    <row r="531" spans="1:1" s="7" customFormat="1">
      <c r="A531" s="4"/>
    </row>
    <row r="532" spans="1:1" s="7" customFormat="1">
      <c r="A532" s="4"/>
    </row>
    <row r="533" spans="1:1" s="7" customFormat="1">
      <c r="A533" s="4"/>
    </row>
    <row r="534" spans="1:1" s="7" customFormat="1">
      <c r="A534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purl.org/dc/terms/"/>
    <ds:schemaRef ds:uri="19483571-f922-4e8e-9c1c-26f0a2252132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851b35d3-0456-4d6a-bc2f-da927e91d158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2025-12-30T12:26:57Z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